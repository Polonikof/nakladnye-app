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Накладные\НовыеНакладные\"/>
    </mc:Choice>
  </mc:AlternateContent>
  <xr:revisionPtr revIDLastSave="0" documentId="8_{F3A73A6D-E58C-4B41-B0AF-4A7761828F39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ayfa1" sheetId="1" r:id="rId1"/>
  </sheets>
  <definedNames>
    <definedName name="_xlnm._FilterDatabase" localSheetId="0" hidden="1">Sayfa1!$A$19:$L$108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" i="1" l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20" i="1"/>
  <c r="I43" i="1" l="1"/>
  <c r="K43" i="1" s="1"/>
  <c r="I21" i="1"/>
  <c r="K21" i="1" s="1"/>
  <c r="I22" i="1"/>
  <c r="K22" i="1" s="1"/>
  <c r="I23" i="1"/>
  <c r="K23" i="1" s="1"/>
  <c r="I24" i="1"/>
  <c r="K24" i="1" s="1"/>
  <c r="I25" i="1"/>
  <c r="K25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20" i="1"/>
  <c r="K20" i="1" s="1"/>
</calcChain>
</file>

<file path=xl/sharedStrings.xml><?xml version="1.0" encoding="utf-8"?>
<sst xmlns="http://schemas.openxmlformats.org/spreadsheetml/2006/main" count="556" uniqueCount="138">
  <si>
    <t>EAN Code</t>
  </si>
  <si>
    <t>Design</t>
  </si>
  <si>
    <t>Color</t>
  </si>
  <si>
    <t>Width</t>
  </si>
  <si>
    <t>Length</t>
  </si>
  <si>
    <t>8797577247694</t>
  </si>
  <si>
    <t>9624A</t>
  </si>
  <si>
    <t>8797577247717</t>
  </si>
  <si>
    <t>8797577248004</t>
  </si>
  <si>
    <t>9427A</t>
  </si>
  <si>
    <t>8797577248028</t>
  </si>
  <si>
    <t>8797577248226</t>
  </si>
  <si>
    <t>9430A</t>
  </si>
  <si>
    <t>8797577248240</t>
  </si>
  <si>
    <t>8797577249957</t>
  </si>
  <si>
    <t>6049B</t>
  </si>
  <si>
    <t>8797577249988</t>
  </si>
  <si>
    <t>8797577250021</t>
  </si>
  <si>
    <t>8797577250052</t>
  </si>
  <si>
    <t>8797577250144</t>
  </si>
  <si>
    <t>6743B</t>
  </si>
  <si>
    <t>8797577250175</t>
  </si>
  <si>
    <t>8797577250212</t>
  </si>
  <si>
    <t>8797577250243</t>
  </si>
  <si>
    <t>8797577250441</t>
  </si>
  <si>
    <t>7481A</t>
  </si>
  <si>
    <t>8797577250472</t>
  </si>
  <si>
    <t>8797577250496</t>
  </si>
  <si>
    <t>8797577250540</t>
  </si>
  <si>
    <t>7731A</t>
  </si>
  <si>
    <t>8797577250571</t>
  </si>
  <si>
    <t>8797577250601</t>
  </si>
  <si>
    <t>8797577250632</t>
  </si>
  <si>
    <t>8797577250908</t>
  </si>
  <si>
    <t>9296A</t>
  </si>
  <si>
    <t>8797577250915</t>
  </si>
  <si>
    <t>8797577250946</t>
  </si>
  <si>
    <t>8797577250977</t>
  </si>
  <si>
    <t>8797577250991</t>
  </si>
  <si>
    <t>8797577251042</t>
  </si>
  <si>
    <t>9582A</t>
  </si>
  <si>
    <t>8797577251073</t>
  </si>
  <si>
    <t>8797577251103</t>
  </si>
  <si>
    <t>8797577251127</t>
  </si>
  <si>
    <t>8797577264905</t>
  </si>
  <si>
    <t>9882A</t>
  </si>
  <si>
    <t>8797577264912</t>
  </si>
  <si>
    <t>8797577264929</t>
  </si>
  <si>
    <t>8797577264936</t>
  </si>
  <si>
    <t>8797577264943</t>
  </si>
  <si>
    <t>8797577264950</t>
  </si>
  <si>
    <t>9048A</t>
  </si>
  <si>
    <t>8797577264967</t>
  </si>
  <si>
    <t>8797577264974</t>
  </si>
  <si>
    <t>8797577264981</t>
  </si>
  <si>
    <t>8797577264998</t>
  </si>
  <si>
    <t>8797577265001</t>
  </si>
  <si>
    <t>8797577265018</t>
  </si>
  <si>
    <t>8797577265025</t>
  </si>
  <si>
    <t>8999A</t>
  </si>
  <si>
    <t>8797577265032</t>
  </si>
  <si>
    <t>8797577265049</t>
  </si>
  <si>
    <t>8797577265056</t>
  </si>
  <si>
    <t>8797577265063</t>
  </si>
  <si>
    <t>8797577265070</t>
  </si>
  <si>
    <t>8797577265087</t>
  </si>
  <si>
    <t>8797577265094</t>
  </si>
  <si>
    <t>9081A</t>
  </si>
  <si>
    <t>8797577265100</t>
  </si>
  <si>
    <t>8797577265117</t>
  </si>
  <si>
    <t>8797577265124</t>
  </si>
  <si>
    <t>8797577265131</t>
  </si>
  <si>
    <t>8797577265148</t>
  </si>
  <si>
    <t>8797577265155</t>
  </si>
  <si>
    <t>8797577265162</t>
  </si>
  <si>
    <t>9056A</t>
  </si>
  <si>
    <t>8797577265179</t>
  </si>
  <si>
    <t>8797577265186</t>
  </si>
  <si>
    <t>8797577265193</t>
  </si>
  <si>
    <t>8797577265209</t>
  </si>
  <si>
    <t>9075A</t>
  </si>
  <si>
    <t>8797577265216</t>
  </si>
  <si>
    <t>9299A</t>
  </si>
  <si>
    <t>8797577265223</t>
  </si>
  <si>
    <t>8797577265230</t>
  </si>
  <si>
    <t>8797577265247</t>
  </si>
  <si>
    <t>8797577265254</t>
  </si>
  <si>
    <t>8797577265261</t>
  </si>
  <si>
    <t>8797577265278</t>
  </si>
  <si>
    <t>8797577265285</t>
  </si>
  <si>
    <t>8797577265292</t>
  </si>
  <si>
    <t>8797577265308</t>
  </si>
  <si>
    <t>8797577265315</t>
  </si>
  <si>
    <t>8797577265322</t>
  </si>
  <si>
    <t>8797577265339</t>
  </si>
  <si>
    <t>9620A</t>
  </si>
  <si>
    <t>8797577265346</t>
  </si>
  <si>
    <t>8797577265353</t>
  </si>
  <si>
    <t>8797577265360</t>
  </si>
  <si>
    <t>8797577265377</t>
  </si>
  <si>
    <t>9969A</t>
  </si>
  <si>
    <t>8797577265384</t>
  </si>
  <si>
    <t>8797577265391</t>
  </si>
  <si>
    <t>8797577265407</t>
  </si>
  <si>
    <t>9875A</t>
  </si>
  <si>
    <t>8797577265414</t>
  </si>
  <si>
    <t>8797577265421</t>
  </si>
  <si>
    <t>8797577265438</t>
  </si>
  <si>
    <t>9432A</t>
  </si>
  <si>
    <t>8797577265445</t>
  </si>
  <si>
    <t>8797577265452</t>
  </si>
  <si>
    <t>8797577265469</t>
  </si>
  <si>
    <t>9970A</t>
  </si>
  <si>
    <t>8797577265476</t>
  </si>
  <si>
    <t>8797577265483</t>
  </si>
  <si>
    <t>Contract  date 19.03.2024</t>
  </si>
  <si>
    <t>DELIVERY TERMS : FCA  GAZİANTP / TURKEY</t>
  </si>
  <si>
    <t>№</t>
  </si>
  <si>
    <t>COLLECTION NAME</t>
  </si>
  <si>
    <t>CODE</t>
  </si>
  <si>
    <t>The size</t>
  </si>
  <si>
    <t>m2 / Unit</t>
  </si>
  <si>
    <t>Quantity</t>
  </si>
  <si>
    <t>Quantity / m2</t>
  </si>
  <si>
    <t>Size &amp; Shope</t>
  </si>
  <si>
    <t>PACKING LIST  №1643 - date 07.07.2026</t>
  </si>
  <si>
    <t>INVOICE # YSF2026000000315, date 08.07.2026</t>
  </si>
  <si>
    <t>CONTAINER № LTRU 420097-5-5  (1/40 HC)</t>
  </si>
  <si>
    <t>ETNO</t>
  </si>
  <si>
    <t>LISSABON</t>
  </si>
  <si>
    <t>BURGUNDY/BURGUNDY</t>
  </si>
  <si>
    <t>CREAM/CREAM</t>
  </si>
  <si>
    <t>D</t>
  </si>
  <si>
    <t>шт</t>
  </si>
  <si>
    <t>наим</t>
  </si>
  <si>
    <t>ед изм</t>
  </si>
  <si>
    <t>полн наим</t>
  </si>
  <si>
    <t>харка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</si>
</sst>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/>
    <xf numFmtId="0" fontId="2" fillId="0" borderId="1" xfId="0" quotePrefix="1" applyFont="1" applyBorder="1"/>
    <xf numFmtId="2" fontId="2" fillId="0" borderId="1" xfId="0" applyNumberFormat="1" applyFont="1" applyBorder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3" fillId="0" borderId="0" xfId="0" applyFont="1" applyFill="1"/>
    <xf numFmtId="0" fontId="2" fillId="0" borderId="0" xfId="0" applyFont="1" applyFill="1"/>
    <xf numFmtId="0" fontId="1" fillId="0" borderId="5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3" xfId="0" quotePrefix="1" applyFont="1" applyBorder="1"/>
    <xf numFmtId="2" fontId="2" fillId="0" borderId="3" xfId="0" applyNumberFormat="1" applyFont="1" applyBorder="1"/>
    <xf numFmtId="0" fontId="2" fillId="0" borderId="6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quotePrefix="1" applyFont="1" applyBorder="1"/>
    <xf numFmtId="2" fontId="2" fillId="0" borderId="5" xfId="0" applyNumberFormat="1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84667</xdr:colOff>
      <xdr:row>0</xdr:row>
      <xdr:rowOff>19050</xdr:rowOff>
    </xdr:from>
    <xdr:to>
      <xdr:col>1</xdr:col>
      <xdr:colOff>1369219</xdr:colOff>
      <xdr:row>9</xdr:row>
      <xdr:rowOff>35719</xdr:rowOff>
    </xdr:to>
    <xdr:sp macro="" textlink="">
      <xdr:nvSpPr>
        <xdr:cNvPr id="17" name="Text Box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84667" y="19050"/>
          <a:ext cx="1741752" cy="1731169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178405</xdr:colOff>
      <xdr:row>1</xdr:row>
      <xdr:rowOff>29368</xdr:rowOff>
    </xdr:from>
    <xdr:ext cx="1445948" cy="1365892"/>
    <xdr:pic>
      <xdr:nvPicPr>
        <xdr:cNvPr id="18" name="Picture 12" descr="Logo-sadece log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05" y="219868"/>
          <a:ext cx="1445948" cy="1365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1508125</xdr:colOff>
      <xdr:row>0</xdr:row>
      <xdr:rowOff>35719</xdr:rowOff>
    </xdr:from>
    <xdr:to>
      <xdr:col>3</xdr:col>
      <xdr:colOff>1619249</xdr:colOff>
      <xdr:row>9</xdr:row>
      <xdr:rowOff>35719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965325" y="35719"/>
          <a:ext cx="4902199" cy="1714500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1762125</xdr:colOff>
      <xdr:row>0</xdr:row>
      <xdr:rowOff>26194</xdr:rowOff>
    </xdr:from>
    <xdr:to>
      <xdr:col>12</xdr:col>
      <xdr:colOff>0</xdr:colOff>
      <xdr:row>9</xdr:row>
      <xdr:rowOff>35720</xdr:rowOff>
    </xdr:to>
    <xdr:sp macro="" textlink="">
      <xdr:nvSpPr>
        <xdr:cNvPr id="20" name="Text Box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7262813" y="26194"/>
          <a:ext cx="8870156" cy="1724026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lang="tr-TR" sz="2000" b="1">
              <a:latin typeface="Times New Roman" panose="02020603050405020304" pitchFamily="18" charset="0"/>
              <a:cs typeface="Times New Roman" panose="02020603050405020304" pitchFamily="18" charset="0"/>
            </a:rPr>
            <a:t>5.ORG. SAN BÖL.,83568</a:t>
          </a:r>
          <a:r>
            <a:rPr lang="tr-TR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NOLU CADDE NO: 9        </a:t>
          </a:r>
          <a:endParaRPr lang="ru-RU" sz="20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  27120 BAŞPINAR, GAİANTEP  / TÜRKİYE </a:t>
          </a:r>
        </a:p>
        <a:p>
          <a:pPr algn="ctr"/>
          <a:r>
            <a:rPr lang="tr-TR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r>
            <a:rPr lang="tr-TR" sz="2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tr-TR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TEL: +90 342 337 2081  - FAX: +90 342 337 20 83 .                                              www.yusufcarpets.com / trade@yusufcarpets.com</a:t>
          </a:r>
          <a:endParaRPr lang="tr-TR" sz="16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tr-TR"/>
        </a:p>
      </xdr:txBody>
    </xdr:sp>
    <xdr:clientData/>
  </xdr:twoCellAnchor>
  <xdr:oneCellAnchor>
    <xdr:from>
      <xdr:col>1</xdr:col>
      <xdr:colOff>1800225</xdr:colOff>
      <xdr:row>1</xdr:row>
      <xdr:rowOff>11904</xdr:rowOff>
    </xdr:from>
    <xdr:ext cx="4371974" cy="1440657"/>
    <xdr:pic>
      <xdr:nvPicPr>
        <xdr:cNvPr id="21" name="Resi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7425" y="202404"/>
          <a:ext cx="4371974" cy="14406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topLeftCell="B11" zoomScale="80" zoomScaleNormal="80" workbookViewId="0">
      <selection activeCell="Q16" sqref="Q16"/>
    </sheetView>
  </sheetViews>
  <sheetFormatPr defaultColWidth="9.109375" defaultRowHeight="13.8" x14ac:dyDescent="0.25"/>
  <cols>
    <col min="1" max="1" width="6.44140625" style="1" customWidth="1"/>
    <col min="2" max="2" width="23.5546875" style="1" customWidth="1"/>
    <col min="3" max="3" width="10.44140625" style="1" customWidth="1"/>
    <col min="4" max="4" width="27.5546875" style="1" bestFit="1" customWidth="1"/>
    <col min="5" max="5" width="7.109375" style="1" bestFit="1" customWidth="1"/>
    <col min="6" max="6" width="14.109375" style="1" bestFit="1" customWidth="1"/>
    <col min="7" max="7" width="6.33203125" style="1" bestFit="1" customWidth="1"/>
    <col min="8" max="8" width="7.44140625" style="1" bestFit="1" customWidth="1"/>
    <col min="9" max="9" width="9.33203125" style="1" bestFit="1" customWidth="1"/>
    <col min="10" max="10" width="8.77734375" style="1" bestFit="1" customWidth="1"/>
    <col min="11" max="11" width="13.33203125" style="2" bestFit="1" customWidth="1"/>
    <col min="12" max="12" width="13.21875" style="1" bestFit="1" customWidth="1"/>
    <col min="13" max="13" width="4" style="1" bestFit="1" customWidth="1"/>
    <col min="14" max="14" width="2.44140625" style="1" bestFit="1" customWidth="1"/>
    <col min="15" max="15" width="32.109375" style="1" bestFit="1" customWidth="1"/>
    <col min="16" max="16" width="7.21875" style="1" bestFit="1" customWidth="1"/>
    <col min="17" max="17" width="38.21875" style="1" bestFit="1" customWidth="1"/>
    <col min="18" max="18" width="31.77734375" style="1" bestFit="1" customWidth="1"/>
    <col min="19" max="16384" width="9.109375" style="1"/>
  </cols>
  <sheetData>
    <row r="1" spans="1:12" x14ac:dyDescent="0.25">
      <c r="A1" s="6"/>
      <c r="B1" s="7"/>
      <c r="C1" s="8"/>
      <c r="D1" s="8"/>
      <c r="E1" s="8"/>
      <c r="F1" s="8"/>
      <c r="G1" s="8"/>
      <c r="H1" s="8"/>
      <c r="I1" s="8"/>
      <c r="J1" s="7"/>
      <c r="K1" s="7"/>
      <c r="L1" s="9"/>
    </row>
    <row r="2" spans="1:12" x14ac:dyDescent="0.25">
      <c r="A2" s="6"/>
      <c r="B2" s="7"/>
      <c r="C2" s="8"/>
      <c r="D2" s="8"/>
      <c r="E2" s="8"/>
      <c r="F2" s="8"/>
      <c r="G2" s="8"/>
      <c r="H2" s="8"/>
      <c r="I2" s="8"/>
      <c r="J2" s="7"/>
      <c r="K2" s="7"/>
      <c r="L2" s="9"/>
    </row>
    <row r="3" spans="1:12" x14ac:dyDescent="0.25">
      <c r="A3" s="6"/>
      <c r="B3" s="7"/>
      <c r="C3" s="8"/>
      <c r="D3" s="8"/>
      <c r="E3" s="8"/>
      <c r="F3" s="8"/>
      <c r="G3" s="8"/>
      <c r="H3" s="8"/>
      <c r="I3" s="8"/>
      <c r="J3" s="7"/>
      <c r="K3" s="7"/>
      <c r="L3" s="9"/>
    </row>
    <row r="4" spans="1:12" x14ac:dyDescent="0.25">
      <c r="A4" s="6"/>
      <c r="B4" s="7"/>
      <c r="C4" s="8"/>
      <c r="D4" s="8"/>
      <c r="E4" s="8"/>
      <c r="F4" s="8"/>
      <c r="G4" s="8"/>
      <c r="H4" s="8"/>
      <c r="I4" s="8"/>
      <c r="J4" s="7"/>
      <c r="K4" s="7"/>
      <c r="L4" s="9"/>
    </row>
    <row r="5" spans="1:12" x14ac:dyDescent="0.25">
      <c r="A5" s="6"/>
      <c r="B5" s="7"/>
      <c r="C5" s="8"/>
      <c r="D5" s="8"/>
      <c r="E5" s="8"/>
      <c r="F5" s="8"/>
      <c r="G5" s="8"/>
      <c r="H5" s="8"/>
      <c r="I5" s="8"/>
      <c r="J5" s="7"/>
      <c r="K5" s="7"/>
      <c r="L5" s="9"/>
    </row>
    <row r="6" spans="1:12" x14ac:dyDescent="0.25">
      <c r="A6" s="6"/>
      <c r="B6" s="7"/>
      <c r="C6" s="8"/>
      <c r="D6" s="8"/>
      <c r="E6" s="8"/>
      <c r="F6" s="8"/>
      <c r="G6" s="8"/>
      <c r="H6" s="8"/>
      <c r="I6" s="8"/>
      <c r="J6" s="7"/>
      <c r="K6" s="7"/>
      <c r="L6" s="9"/>
    </row>
    <row r="7" spans="1:12" x14ac:dyDescent="0.25">
      <c r="A7" s="6"/>
      <c r="B7" s="7"/>
      <c r="C7" s="8"/>
      <c r="D7" s="8"/>
      <c r="E7" s="8"/>
      <c r="F7" s="8"/>
      <c r="G7" s="8"/>
      <c r="H7" s="8"/>
      <c r="I7" s="8"/>
      <c r="J7" s="7"/>
      <c r="K7" s="7"/>
      <c r="L7" s="9"/>
    </row>
    <row r="8" spans="1:12" x14ac:dyDescent="0.25">
      <c r="A8" s="6"/>
      <c r="B8" s="7"/>
      <c r="C8" s="8"/>
      <c r="D8" s="8"/>
      <c r="E8" s="8"/>
      <c r="F8" s="8"/>
      <c r="G8" s="8"/>
      <c r="H8" s="8"/>
      <c r="I8" s="8"/>
      <c r="J8" s="7"/>
      <c r="K8" s="7"/>
      <c r="L8" s="9"/>
    </row>
    <row r="9" spans="1:12" x14ac:dyDescent="0.25">
      <c r="A9" s="6"/>
      <c r="B9" s="7"/>
      <c r="C9" s="8"/>
      <c r="D9" s="8"/>
      <c r="E9" s="8"/>
      <c r="F9" s="8"/>
      <c r="G9" s="8"/>
      <c r="H9" s="8"/>
      <c r="I9" s="8"/>
      <c r="J9" s="7"/>
      <c r="K9" s="7"/>
      <c r="L9" s="9"/>
    </row>
    <row r="10" spans="1:12" x14ac:dyDescent="0.25">
      <c r="A10" s="6"/>
      <c r="B10" s="7"/>
      <c r="C10" s="8"/>
      <c r="D10" s="8"/>
      <c r="E10" s="8"/>
      <c r="F10" s="8"/>
      <c r="G10" s="8"/>
      <c r="H10" s="8"/>
      <c r="I10" s="8"/>
      <c r="J10" s="7"/>
      <c r="K10" s="7"/>
      <c r="L10" s="9"/>
    </row>
    <row r="11" spans="1:12" x14ac:dyDescent="0.25">
      <c r="A11" s="6"/>
      <c r="B11" s="7"/>
      <c r="C11" s="8"/>
      <c r="D11" s="8"/>
      <c r="E11" s="8"/>
      <c r="F11" s="8"/>
      <c r="G11" s="8"/>
      <c r="H11" s="8"/>
      <c r="I11" s="8"/>
      <c r="J11" s="7"/>
      <c r="K11" s="7"/>
      <c r="L11" s="9"/>
    </row>
    <row r="12" spans="1:12" ht="14.4" x14ac:dyDescent="0.3">
      <c r="A12" s="7"/>
      <c r="B12" s="7" t="s">
        <v>125</v>
      </c>
      <c r="C12" s="7"/>
      <c r="D12" s="7"/>
      <c r="E12" s="10"/>
      <c r="F12" s="7"/>
      <c r="G12" s="7"/>
      <c r="H12" s="7"/>
      <c r="I12" s="7"/>
      <c r="J12" s="7"/>
      <c r="K12" s="7"/>
      <c r="L12" s="9"/>
    </row>
    <row r="13" spans="1:12" ht="14.4" x14ac:dyDescent="0.3">
      <c r="A13" s="7"/>
      <c r="B13" s="7" t="s">
        <v>126</v>
      </c>
      <c r="C13" s="7"/>
      <c r="D13" s="7"/>
      <c r="E13" s="10"/>
      <c r="F13" s="7"/>
      <c r="G13" s="7"/>
      <c r="H13" s="7"/>
      <c r="I13" s="7"/>
      <c r="J13" s="7"/>
      <c r="K13" s="7"/>
      <c r="L13" s="9"/>
    </row>
    <row r="14" spans="1:12" ht="14.4" x14ac:dyDescent="0.3">
      <c r="A14" s="7"/>
      <c r="B14" s="7" t="s">
        <v>115</v>
      </c>
      <c r="C14" s="7"/>
      <c r="D14" s="7"/>
      <c r="E14" s="10"/>
      <c r="F14" s="7"/>
      <c r="G14" s="7"/>
      <c r="H14" s="7"/>
      <c r="I14" s="7"/>
      <c r="J14" s="7"/>
      <c r="K14" s="7"/>
      <c r="L14" s="9"/>
    </row>
    <row r="15" spans="1:12" ht="14.4" x14ac:dyDescent="0.3">
      <c r="A15" s="7"/>
      <c r="B15" s="7" t="s">
        <v>116</v>
      </c>
      <c r="C15" s="7"/>
      <c r="D15" s="7"/>
      <c r="E15" s="10"/>
      <c r="F15" s="7"/>
      <c r="G15" s="7"/>
      <c r="H15" s="7"/>
      <c r="I15" s="7"/>
      <c r="J15" s="7"/>
      <c r="K15" s="7"/>
      <c r="L15" s="9"/>
    </row>
    <row r="16" spans="1:12" ht="14.4" x14ac:dyDescent="0.3">
      <c r="A16" s="7"/>
      <c r="B16" s="7" t="s">
        <v>127</v>
      </c>
      <c r="C16" s="7"/>
      <c r="D16" s="7"/>
      <c r="E16" s="10"/>
      <c r="F16" s="7"/>
      <c r="G16" s="7"/>
      <c r="H16" s="7"/>
      <c r="I16" s="7"/>
      <c r="J16" s="7"/>
      <c r="K16" s="7"/>
      <c r="L16" s="9"/>
    </row>
    <row r="17" spans="1:18" ht="14.4" thickBo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8" s="22" customFormat="1" x14ac:dyDescent="0.25">
      <c r="A18" s="24" t="s">
        <v>117</v>
      </c>
      <c r="B18" s="26" t="s">
        <v>118</v>
      </c>
      <c r="C18" s="26" t="s">
        <v>1</v>
      </c>
      <c r="D18" s="26" t="s">
        <v>2</v>
      </c>
      <c r="E18" s="26" t="s">
        <v>119</v>
      </c>
      <c r="F18" s="26" t="s">
        <v>0</v>
      </c>
      <c r="G18" s="28" t="s">
        <v>120</v>
      </c>
      <c r="H18" s="28"/>
      <c r="I18" s="26" t="s">
        <v>121</v>
      </c>
      <c r="J18" s="26" t="s">
        <v>122</v>
      </c>
      <c r="K18" s="26" t="s">
        <v>123</v>
      </c>
      <c r="L18" s="26" t="s">
        <v>124</v>
      </c>
    </row>
    <row r="19" spans="1:18" s="23" customFormat="1" ht="14.4" thickBot="1" x14ac:dyDescent="0.3">
      <c r="A19" s="25"/>
      <c r="B19" s="27"/>
      <c r="C19" s="27"/>
      <c r="D19" s="27"/>
      <c r="E19" s="27"/>
      <c r="F19" s="27"/>
      <c r="G19" s="12" t="s">
        <v>3</v>
      </c>
      <c r="H19" s="12" t="s">
        <v>4</v>
      </c>
      <c r="I19" s="27"/>
      <c r="J19" s="27"/>
      <c r="K19" s="27"/>
      <c r="L19" s="27"/>
      <c r="O19" s="23" t="s">
        <v>134</v>
      </c>
      <c r="P19" s="23" t="s">
        <v>135</v>
      </c>
      <c r="Q19" s="23" t="s">
        <v>136</v>
      </c>
      <c r="R19" s="23" t="s">
        <v>137</v>
      </c>
    </row>
    <row r="20" spans="1:18" x14ac:dyDescent="0.25">
      <c r="A20" s="13">
        <v>1</v>
      </c>
      <c r="B20" s="14" t="s">
        <v>128</v>
      </c>
      <c r="C20" s="14" t="s">
        <v>6</v>
      </c>
      <c r="D20" s="14" t="s">
        <v>130</v>
      </c>
      <c r="E20" s="14">
        <v>570242</v>
      </c>
      <c r="F20" s="15" t="s">
        <v>5</v>
      </c>
      <c r="G20" s="14">
        <v>200</v>
      </c>
      <c r="H20" s="14">
        <v>300</v>
      </c>
      <c r="I20" s="16">
        <f>G20*H20/10000</f>
        <v>6</v>
      </c>
      <c r="J20" s="14">
        <v>6</v>
      </c>
      <c r="K20" s="16">
        <f t="shared" ref="K20:K43" si="0">I20*J20</f>
        <v>36</v>
      </c>
      <c r="L20" s="14">
        <v>200</v>
      </c>
      <c r="M20" s="1">
        <v>300</v>
      </c>
      <c r="N20" s="1" t="s">
        <v>132</v>
      </c>
      <c r="O20" s="1" t="str">
        <f>CONCATENATE(B20," ",(G20/100),"*",(H20/100)," Прямоугольник")</f>
        <v>ETNO 2*3 Прямоугольник</v>
      </c>
      <c r="P20" s="1" t="s">
        <v>133</v>
      </c>
      <c r="Q20" s="1" t="str">
        <f>CONCATENATE(,"Ковер"," ",O20)</f>
        <v>Ковер ETNO 2*3 Прямоугольник</v>
      </c>
      <c r="R20" s="1" t="str">
        <f>CONCATENATE(C20," ",D20)</f>
        <v>9624A BURGUNDY/BURGUNDY</v>
      </c>
    </row>
    <row r="21" spans="1:18" x14ac:dyDescent="0.25">
      <c r="A21" s="17">
        <v>2</v>
      </c>
      <c r="B21" s="3" t="s">
        <v>128</v>
      </c>
      <c r="C21" s="3" t="s">
        <v>6</v>
      </c>
      <c r="D21" s="3" t="s">
        <v>130</v>
      </c>
      <c r="E21" s="3">
        <v>570242</v>
      </c>
      <c r="F21" s="4" t="s">
        <v>7</v>
      </c>
      <c r="G21" s="3">
        <v>150</v>
      </c>
      <c r="H21" s="3">
        <v>230</v>
      </c>
      <c r="I21" s="5">
        <f t="shared" ref="I21:I102" si="1">G21*H21/10000</f>
        <v>3.45</v>
      </c>
      <c r="J21" s="3">
        <v>6</v>
      </c>
      <c r="K21" s="5">
        <f t="shared" si="0"/>
        <v>20.700000000000003</v>
      </c>
      <c r="L21" s="3">
        <v>150</v>
      </c>
      <c r="M21" s="1">
        <v>230</v>
      </c>
      <c r="N21" s="1" t="s">
        <v>132</v>
      </c>
      <c r="O21" s="1" t="str">
        <f t="shared" ref="O21:O84" si="2">CONCATENATE(B21," ",(G21/100),"*",(H21/100)," Прямоугольник")</f>
        <v>ETNO 1,5*2,3 Прямоугольник</v>
      </c>
      <c r="P21" s="1" t="s">
        <v>133</v>
      </c>
      <c r="Q21" s="1" t="str">
        <f t="shared" ref="Q21:Q84" si="3">CONCATENATE(,"Ковер"," ",O21)</f>
        <v>Ковер ETNO 1,5*2,3 Прямоугольник</v>
      </c>
      <c r="R21" s="1" t="str">
        <f t="shared" ref="R21:R84" si="4">CONCATENATE(C21," ",D21)</f>
        <v>9624A BURGUNDY/BURGUNDY</v>
      </c>
    </row>
    <row r="22" spans="1:18" x14ac:dyDescent="0.25">
      <c r="A22" s="17">
        <v>3</v>
      </c>
      <c r="B22" s="3" t="s">
        <v>128</v>
      </c>
      <c r="C22" s="3" t="s">
        <v>9</v>
      </c>
      <c r="D22" s="3" t="s">
        <v>130</v>
      </c>
      <c r="E22" s="3">
        <v>570242</v>
      </c>
      <c r="F22" s="4" t="s">
        <v>8</v>
      </c>
      <c r="G22" s="3">
        <v>200</v>
      </c>
      <c r="H22" s="3">
        <v>300</v>
      </c>
      <c r="I22" s="5">
        <f t="shared" si="1"/>
        <v>6</v>
      </c>
      <c r="J22" s="3">
        <v>6</v>
      </c>
      <c r="K22" s="5">
        <f t="shared" si="0"/>
        <v>36</v>
      </c>
      <c r="L22" s="3">
        <v>200</v>
      </c>
      <c r="M22" s="1">
        <v>300</v>
      </c>
      <c r="N22" s="1" t="s">
        <v>132</v>
      </c>
      <c r="O22" s="1" t="str">
        <f t="shared" si="2"/>
        <v>ETNO 2*3 Прямоугольник</v>
      </c>
      <c r="P22" s="1" t="s">
        <v>133</v>
      </c>
      <c r="Q22" s="1" t="str">
        <f t="shared" si="3"/>
        <v>Ковер ETNO 2*3 Прямоугольник</v>
      </c>
      <c r="R22" s="1" t="str">
        <f t="shared" si="4"/>
        <v>9427A BURGUNDY/BURGUNDY</v>
      </c>
    </row>
    <row r="23" spans="1:18" x14ac:dyDescent="0.25">
      <c r="A23" s="17">
        <v>4</v>
      </c>
      <c r="B23" s="3" t="s">
        <v>128</v>
      </c>
      <c r="C23" s="3" t="s">
        <v>9</v>
      </c>
      <c r="D23" s="3" t="s">
        <v>130</v>
      </c>
      <c r="E23" s="3">
        <v>570242</v>
      </c>
      <c r="F23" s="4" t="s">
        <v>10</v>
      </c>
      <c r="G23" s="3">
        <v>150</v>
      </c>
      <c r="H23" s="3">
        <v>230</v>
      </c>
      <c r="I23" s="5">
        <f t="shared" si="1"/>
        <v>3.45</v>
      </c>
      <c r="J23" s="3">
        <v>6</v>
      </c>
      <c r="K23" s="5">
        <f t="shared" si="0"/>
        <v>20.700000000000003</v>
      </c>
      <c r="L23" s="3">
        <v>150</v>
      </c>
      <c r="M23" s="1">
        <v>230</v>
      </c>
      <c r="N23" s="1" t="s">
        <v>132</v>
      </c>
      <c r="O23" s="1" t="str">
        <f t="shared" si="2"/>
        <v>ETNO 1,5*2,3 Прямоугольник</v>
      </c>
      <c r="P23" s="1" t="s">
        <v>133</v>
      </c>
      <c r="Q23" s="1" t="str">
        <f t="shared" si="3"/>
        <v>Ковер ETNO 1,5*2,3 Прямоугольник</v>
      </c>
      <c r="R23" s="1" t="str">
        <f t="shared" si="4"/>
        <v>9427A BURGUNDY/BURGUNDY</v>
      </c>
    </row>
    <row r="24" spans="1:18" x14ac:dyDescent="0.25">
      <c r="A24" s="17">
        <v>5</v>
      </c>
      <c r="B24" s="3" t="s">
        <v>128</v>
      </c>
      <c r="C24" s="3" t="s">
        <v>12</v>
      </c>
      <c r="D24" s="3" t="s">
        <v>130</v>
      </c>
      <c r="E24" s="3">
        <v>570242</v>
      </c>
      <c r="F24" s="4" t="s">
        <v>11</v>
      </c>
      <c r="G24" s="3">
        <v>200</v>
      </c>
      <c r="H24" s="3">
        <v>300</v>
      </c>
      <c r="I24" s="5">
        <f t="shared" si="1"/>
        <v>6</v>
      </c>
      <c r="J24" s="3">
        <v>8</v>
      </c>
      <c r="K24" s="5">
        <f t="shared" si="0"/>
        <v>48</v>
      </c>
      <c r="L24" s="3">
        <v>200</v>
      </c>
      <c r="M24" s="1">
        <v>300</v>
      </c>
      <c r="N24" s="1" t="s">
        <v>132</v>
      </c>
      <c r="O24" s="1" t="str">
        <f t="shared" si="2"/>
        <v>ETNO 2*3 Прямоугольник</v>
      </c>
      <c r="P24" s="1" t="s">
        <v>133</v>
      </c>
      <c r="Q24" s="1" t="str">
        <f t="shared" si="3"/>
        <v>Ковер ETNO 2*3 Прямоугольник</v>
      </c>
      <c r="R24" s="1" t="str">
        <f t="shared" si="4"/>
        <v>9430A BURGUNDY/BURGUNDY</v>
      </c>
    </row>
    <row r="25" spans="1:18" x14ac:dyDescent="0.25">
      <c r="A25" s="17">
        <v>6</v>
      </c>
      <c r="B25" s="3" t="s">
        <v>128</v>
      </c>
      <c r="C25" s="3" t="s">
        <v>12</v>
      </c>
      <c r="D25" s="3" t="s">
        <v>130</v>
      </c>
      <c r="E25" s="3">
        <v>570242</v>
      </c>
      <c r="F25" s="4" t="s">
        <v>13</v>
      </c>
      <c r="G25" s="3">
        <v>150</v>
      </c>
      <c r="H25" s="3">
        <v>230</v>
      </c>
      <c r="I25" s="5">
        <f t="shared" si="1"/>
        <v>3.45</v>
      </c>
      <c r="J25" s="3">
        <v>8</v>
      </c>
      <c r="K25" s="5">
        <f t="shared" si="0"/>
        <v>27.6</v>
      </c>
      <c r="L25" s="3">
        <v>150</v>
      </c>
      <c r="M25" s="1">
        <v>230</v>
      </c>
      <c r="N25" s="1" t="s">
        <v>132</v>
      </c>
      <c r="O25" s="1" t="str">
        <f t="shared" si="2"/>
        <v>ETNO 1,5*2,3 Прямоугольник</v>
      </c>
      <c r="P25" s="1" t="s">
        <v>133</v>
      </c>
      <c r="Q25" s="1" t="str">
        <f t="shared" si="3"/>
        <v>Ковер ETNO 1,5*2,3 Прямоугольник</v>
      </c>
      <c r="R25" s="1" t="str">
        <f t="shared" si="4"/>
        <v>9430A BURGUNDY/BURGUNDY</v>
      </c>
    </row>
    <row r="26" spans="1:18" x14ac:dyDescent="0.25">
      <c r="A26" s="17">
        <v>7</v>
      </c>
      <c r="B26" s="3" t="s">
        <v>128</v>
      </c>
      <c r="C26" s="3" t="s">
        <v>9</v>
      </c>
      <c r="D26" s="3" t="s">
        <v>130</v>
      </c>
      <c r="E26" s="3">
        <v>570242</v>
      </c>
      <c r="F26" s="4" t="s">
        <v>92</v>
      </c>
      <c r="G26" s="3">
        <v>80</v>
      </c>
      <c r="H26" s="3">
        <v>150</v>
      </c>
      <c r="I26" s="5">
        <f t="shared" ref="I26:I42" si="5">G26*H26/10000</f>
        <v>1.2</v>
      </c>
      <c r="J26" s="3">
        <v>4</v>
      </c>
      <c r="K26" s="5">
        <f t="shared" si="0"/>
        <v>4.8</v>
      </c>
      <c r="L26" s="3">
        <v>80</v>
      </c>
      <c r="M26" s="1">
        <v>150</v>
      </c>
      <c r="N26" s="1" t="s">
        <v>132</v>
      </c>
      <c r="O26" s="1" t="str">
        <f t="shared" si="2"/>
        <v>ETNO 0,8*1,5 Прямоугольник</v>
      </c>
      <c r="P26" s="1" t="s">
        <v>133</v>
      </c>
      <c r="Q26" s="1" t="str">
        <f t="shared" si="3"/>
        <v>Ковер ETNO 0,8*1,5 Прямоугольник</v>
      </c>
      <c r="R26" s="1" t="str">
        <f t="shared" si="4"/>
        <v>9427A BURGUNDY/BURGUNDY</v>
      </c>
    </row>
    <row r="27" spans="1:18" x14ac:dyDescent="0.25">
      <c r="A27" s="17">
        <v>8</v>
      </c>
      <c r="B27" s="3" t="s">
        <v>128</v>
      </c>
      <c r="C27" s="3" t="s">
        <v>12</v>
      </c>
      <c r="D27" s="3" t="s">
        <v>130</v>
      </c>
      <c r="E27" s="3">
        <v>570242</v>
      </c>
      <c r="F27" s="4" t="s">
        <v>93</v>
      </c>
      <c r="G27" s="3">
        <v>80</v>
      </c>
      <c r="H27" s="3">
        <v>150</v>
      </c>
      <c r="I27" s="5">
        <f t="shared" si="5"/>
        <v>1.2</v>
      </c>
      <c r="J27" s="3">
        <v>4</v>
      </c>
      <c r="K27" s="5">
        <f t="shared" si="0"/>
        <v>4.8</v>
      </c>
      <c r="L27" s="3">
        <v>80</v>
      </c>
      <c r="M27" s="1">
        <v>150</v>
      </c>
      <c r="N27" s="1" t="s">
        <v>132</v>
      </c>
      <c r="O27" s="1" t="str">
        <f t="shared" si="2"/>
        <v>ETNO 0,8*1,5 Прямоугольник</v>
      </c>
      <c r="P27" s="1" t="s">
        <v>133</v>
      </c>
      <c r="Q27" s="1" t="str">
        <f t="shared" si="3"/>
        <v>Ковер ETNO 0,8*1,5 Прямоугольник</v>
      </c>
      <c r="R27" s="1" t="str">
        <f t="shared" si="4"/>
        <v>9430A BURGUNDY/BURGUNDY</v>
      </c>
    </row>
    <row r="28" spans="1:18" x14ac:dyDescent="0.25">
      <c r="A28" s="17">
        <v>9</v>
      </c>
      <c r="B28" s="3" t="s">
        <v>128</v>
      </c>
      <c r="C28" s="3" t="s">
        <v>95</v>
      </c>
      <c r="D28" s="3" t="s">
        <v>130</v>
      </c>
      <c r="E28" s="3">
        <v>570242</v>
      </c>
      <c r="F28" s="4" t="s">
        <v>94</v>
      </c>
      <c r="G28" s="3">
        <v>200</v>
      </c>
      <c r="H28" s="3">
        <v>300</v>
      </c>
      <c r="I28" s="5">
        <f t="shared" si="5"/>
        <v>6</v>
      </c>
      <c r="J28" s="3">
        <v>6</v>
      </c>
      <c r="K28" s="5">
        <f t="shared" si="0"/>
        <v>36</v>
      </c>
      <c r="L28" s="3">
        <v>200</v>
      </c>
      <c r="M28" s="1">
        <v>300</v>
      </c>
      <c r="N28" s="1" t="s">
        <v>132</v>
      </c>
      <c r="O28" s="1" t="str">
        <f t="shared" si="2"/>
        <v>ETNO 2*3 Прямоугольник</v>
      </c>
      <c r="P28" s="1" t="s">
        <v>133</v>
      </c>
      <c r="Q28" s="1" t="str">
        <f t="shared" si="3"/>
        <v>Ковер ETNO 2*3 Прямоугольник</v>
      </c>
      <c r="R28" s="1" t="str">
        <f t="shared" si="4"/>
        <v>9620A BURGUNDY/BURGUNDY</v>
      </c>
    </row>
    <row r="29" spans="1:18" x14ac:dyDescent="0.25">
      <c r="A29" s="17">
        <v>10</v>
      </c>
      <c r="B29" s="3" t="s">
        <v>128</v>
      </c>
      <c r="C29" s="3" t="s">
        <v>95</v>
      </c>
      <c r="D29" s="3" t="s">
        <v>130</v>
      </c>
      <c r="E29" s="3">
        <v>570242</v>
      </c>
      <c r="F29" s="4" t="s">
        <v>96</v>
      </c>
      <c r="G29" s="3">
        <v>150</v>
      </c>
      <c r="H29" s="3">
        <v>230</v>
      </c>
      <c r="I29" s="5">
        <f t="shared" si="5"/>
        <v>3.45</v>
      </c>
      <c r="J29" s="3">
        <v>6</v>
      </c>
      <c r="K29" s="5">
        <f t="shared" si="0"/>
        <v>20.700000000000003</v>
      </c>
      <c r="L29" s="3">
        <v>150</v>
      </c>
      <c r="M29" s="1">
        <v>230</v>
      </c>
      <c r="N29" s="1" t="s">
        <v>132</v>
      </c>
      <c r="O29" s="1" t="str">
        <f t="shared" si="2"/>
        <v>ETNO 1,5*2,3 Прямоугольник</v>
      </c>
      <c r="P29" s="1" t="s">
        <v>133</v>
      </c>
      <c r="Q29" s="1" t="str">
        <f t="shared" si="3"/>
        <v>Ковер ETNO 1,5*2,3 Прямоугольник</v>
      </c>
      <c r="R29" s="1" t="str">
        <f t="shared" si="4"/>
        <v>9620A BURGUNDY/BURGUNDY</v>
      </c>
    </row>
    <row r="30" spans="1:18" x14ac:dyDescent="0.25">
      <c r="A30" s="17">
        <v>11</v>
      </c>
      <c r="B30" s="3" t="s">
        <v>128</v>
      </c>
      <c r="C30" s="3" t="s">
        <v>95</v>
      </c>
      <c r="D30" s="3" t="s">
        <v>130</v>
      </c>
      <c r="E30" s="3">
        <v>570242</v>
      </c>
      <c r="F30" s="4" t="s">
        <v>97</v>
      </c>
      <c r="G30" s="3">
        <v>80</v>
      </c>
      <c r="H30" s="3">
        <v>150</v>
      </c>
      <c r="I30" s="5">
        <f t="shared" si="5"/>
        <v>1.2</v>
      </c>
      <c r="J30" s="3">
        <v>4</v>
      </c>
      <c r="K30" s="5">
        <f t="shared" si="0"/>
        <v>4.8</v>
      </c>
      <c r="L30" s="3">
        <v>80</v>
      </c>
      <c r="M30" s="1">
        <v>150</v>
      </c>
      <c r="N30" s="1" t="s">
        <v>132</v>
      </c>
      <c r="O30" s="1" t="str">
        <f t="shared" si="2"/>
        <v>ETNO 0,8*1,5 Прямоугольник</v>
      </c>
      <c r="P30" s="1" t="s">
        <v>133</v>
      </c>
      <c r="Q30" s="1" t="str">
        <f t="shared" si="3"/>
        <v>Ковер ETNO 0,8*1,5 Прямоугольник</v>
      </c>
      <c r="R30" s="1" t="str">
        <f t="shared" si="4"/>
        <v>9620A BURGUNDY/BURGUNDY</v>
      </c>
    </row>
    <row r="31" spans="1:18" x14ac:dyDescent="0.25">
      <c r="A31" s="17">
        <v>12</v>
      </c>
      <c r="B31" s="3" t="s">
        <v>128</v>
      </c>
      <c r="C31" s="3" t="s">
        <v>6</v>
      </c>
      <c r="D31" s="3" t="s">
        <v>130</v>
      </c>
      <c r="E31" s="3">
        <v>570242</v>
      </c>
      <c r="F31" s="4" t="s">
        <v>98</v>
      </c>
      <c r="G31" s="3">
        <v>80</v>
      </c>
      <c r="H31" s="3">
        <v>150</v>
      </c>
      <c r="I31" s="5">
        <f t="shared" si="5"/>
        <v>1.2</v>
      </c>
      <c r="J31" s="3">
        <v>4</v>
      </c>
      <c r="K31" s="5">
        <f t="shared" si="0"/>
        <v>4.8</v>
      </c>
      <c r="L31" s="3">
        <v>80</v>
      </c>
      <c r="M31" s="1">
        <v>150</v>
      </c>
      <c r="N31" s="1" t="s">
        <v>132</v>
      </c>
      <c r="O31" s="1" t="str">
        <f t="shared" si="2"/>
        <v>ETNO 0,8*1,5 Прямоугольник</v>
      </c>
      <c r="P31" s="1" t="s">
        <v>133</v>
      </c>
      <c r="Q31" s="1" t="str">
        <f t="shared" si="3"/>
        <v>Ковер ETNO 0,8*1,5 Прямоугольник</v>
      </c>
      <c r="R31" s="1" t="str">
        <f t="shared" si="4"/>
        <v>9624A BURGUNDY/BURGUNDY</v>
      </c>
    </row>
    <row r="32" spans="1:18" x14ac:dyDescent="0.25">
      <c r="A32" s="17">
        <v>13</v>
      </c>
      <c r="B32" s="3" t="s">
        <v>128</v>
      </c>
      <c r="C32" s="3" t="s">
        <v>100</v>
      </c>
      <c r="D32" s="3" t="s">
        <v>130</v>
      </c>
      <c r="E32" s="3">
        <v>570242</v>
      </c>
      <c r="F32" s="4" t="s">
        <v>99</v>
      </c>
      <c r="G32" s="3">
        <v>200</v>
      </c>
      <c r="H32" s="3">
        <v>300</v>
      </c>
      <c r="I32" s="5">
        <f t="shared" si="5"/>
        <v>6</v>
      </c>
      <c r="J32" s="3">
        <v>8</v>
      </c>
      <c r="K32" s="5">
        <f t="shared" si="0"/>
        <v>48</v>
      </c>
      <c r="L32" s="3">
        <v>200</v>
      </c>
      <c r="M32" s="1">
        <v>300</v>
      </c>
      <c r="N32" s="1" t="s">
        <v>132</v>
      </c>
      <c r="O32" s="1" t="str">
        <f t="shared" si="2"/>
        <v>ETNO 2*3 Прямоугольник</v>
      </c>
      <c r="P32" s="1" t="s">
        <v>133</v>
      </c>
      <c r="Q32" s="1" t="str">
        <f t="shared" si="3"/>
        <v>Ковер ETNO 2*3 Прямоугольник</v>
      </c>
      <c r="R32" s="1" t="str">
        <f t="shared" si="4"/>
        <v>9969A BURGUNDY/BURGUNDY</v>
      </c>
    </row>
    <row r="33" spans="1:18" x14ac:dyDescent="0.25">
      <c r="A33" s="17">
        <v>14</v>
      </c>
      <c r="B33" s="3" t="s">
        <v>128</v>
      </c>
      <c r="C33" s="3" t="s">
        <v>100</v>
      </c>
      <c r="D33" s="3" t="s">
        <v>130</v>
      </c>
      <c r="E33" s="3">
        <v>570242</v>
      </c>
      <c r="F33" s="4" t="s">
        <v>101</v>
      </c>
      <c r="G33" s="3">
        <v>150</v>
      </c>
      <c r="H33" s="3">
        <v>230</v>
      </c>
      <c r="I33" s="5">
        <f t="shared" si="5"/>
        <v>3.45</v>
      </c>
      <c r="J33" s="3">
        <v>8</v>
      </c>
      <c r="K33" s="5">
        <f t="shared" si="0"/>
        <v>27.6</v>
      </c>
      <c r="L33" s="3">
        <v>150</v>
      </c>
      <c r="M33" s="1">
        <v>230</v>
      </c>
      <c r="N33" s="1" t="s">
        <v>132</v>
      </c>
      <c r="O33" s="1" t="str">
        <f t="shared" si="2"/>
        <v>ETNO 1,5*2,3 Прямоугольник</v>
      </c>
      <c r="P33" s="1" t="s">
        <v>133</v>
      </c>
      <c r="Q33" s="1" t="str">
        <f t="shared" si="3"/>
        <v>Ковер ETNO 1,5*2,3 Прямоугольник</v>
      </c>
      <c r="R33" s="1" t="str">
        <f t="shared" si="4"/>
        <v>9969A BURGUNDY/BURGUNDY</v>
      </c>
    </row>
    <row r="34" spans="1:18" x14ac:dyDescent="0.25">
      <c r="A34" s="17">
        <v>15</v>
      </c>
      <c r="B34" s="3" t="s">
        <v>128</v>
      </c>
      <c r="C34" s="3" t="s">
        <v>100</v>
      </c>
      <c r="D34" s="3" t="s">
        <v>130</v>
      </c>
      <c r="E34" s="3">
        <v>570242</v>
      </c>
      <c r="F34" s="4" t="s">
        <v>102</v>
      </c>
      <c r="G34" s="3">
        <v>80</v>
      </c>
      <c r="H34" s="3">
        <v>150</v>
      </c>
      <c r="I34" s="5">
        <f t="shared" si="5"/>
        <v>1.2</v>
      </c>
      <c r="J34" s="3">
        <v>4</v>
      </c>
      <c r="K34" s="5">
        <f t="shared" si="0"/>
        <v>4.8</v>
      </c>
      <c r="L34" s="3">
        <v>80</v>
      </c>
      <c r="M34" s="1">
        <v>150</v>
      </c>
      <c r="N34" s="1" t="s">
        <v>132</v>
      </c>
      <c r="O34" s="1" t="str">
        <f t="shared" si="2"/>
        <v>ETNO 0,8*1,5 Прямоугольник</v>
      </c>
      <c r="P34" s="1" t="s">
        <v>133</v>
      </c>
      <c r="Q34" s="1" t="str">
        <f t="shared" si="3"/>
        <v>Ковер ETNO 0,8*1,5 Прямоугольник</v>
      </c>
      <c r="R34" s="1" t="str">
        <f t="shared" si="4"/>
        <v>9969A BURGUNDY/BURGUNDY</v>
      </c>
    </row>
    <row r="35" spans="1:18" x14ac:dyDescent="0.25">
      <c r="A35" s="17">
        <v>16</v>
      </c>
      <c r="B35" s="3" t="s">
        <v>128</v>
      </c>
      <c r="C35" s="3" t="s">
        <v>104</v>
      </c>
      <c r="D35" s="3" t="s">
        <v>130</v>
      </c>
      <c r="E35" s="3">
        <v>570242</v>
      </c>
      <c r="F35" s="4" t="s">
        <v>103</v>
      </c>
      <c r="G35" s="3">
        <v>200</v>
      </c>
      <c r="H35" s="3">
        <v>300</v>
      </c>
      <c r="I35" s="5">
        <f t="shared" si="5"/>
        <v>6</v>
      </c>
      <c r="J35" s="3">
        <v>6</v>
      </c>
      <c r="K35" s="5">
        <f t="shared" si="0"/>
        <v>36</v>
      </c>
      <c r="L35" s="3">
        <v>200</v>
      </c>
      <c r="M35" s="1">
        <v>300</v>
      </c>
      <c r="N35" s="1" t="s">
        <v>132</v>
      </c>
      <c r="O35" s="1" t="str">
        <f t="shared" si="2"/>
        <v>ETNO 2*3 Прямоугольник</v>
      </c>
      <c r="P35" s="1" t="s">
        <v>133</v>
      </c>
      <c r="Q35" s="1" t="str">
        <f t="shared" si="3"/>
        <v>Ковер ETNO 2*3 Прямоугольник</v>
      </c>
      <c r="R35" s="1" t="str">
        <f t="shared" si="4"/>
        <v>9875A BURGUNDY/BURGUNDY</v>
      </c>
    </row>
    <row r="36" spans="1:18" x14ac:dyDescent="0.25">
      <c r="A36" s="17">
        <v>17</v>
      </c>
      <c r="B36" s="3" t="s">
        <v>128</v>
      </c>
      <c r="C36" s="3" t="s">
        <v>104</v>
      </c>
      <c r="D36" s="3" t="s">
        <v>130</v>
      </c>
      <c r="E36" s="3">
        <v>570242</v>
      </c>
      <c r="F36" s="4" t="s">
        <v>105</v>
      </c>
      <c r="G36" s="3">
        <v>150</v>
      </c>
      <c r="H36" s="3">
        <v>230</v>
      </c>
      <c r="I36" s="5">
        <f t="shared" si="5"/>
        <v>3.45</v>
      </c>
      <c r="J36" s="3">
        <v>6</v>
      </c>
      <c r="K36" s="5">
        <f t="shared" si="0"/>
        <v>20.700000000000003</v>
      </c>
      <c r="L36" s="3">
        <v>150</v>
      </c>
      <c r="M36" s="1">
        <v>230</v>
      </c>
      <c r="N36" s="1" t="s">
        <v>132</v>
      </c>
      <c r="O36" s="1" t="str">
        <f t="shared" si="2"/>
        <v>ETNO 1,5*2,3 Прямоугольник</v>
      </c>
      <c r="P36" s="1" t="s">
        <v>133</v>
      </c>
      <c r="Q36" s="1" t="str">
        <f t="shared" si="3"/>
        <v>Ковер ETNO 1,5*2,3 Прямоугольник</v>
      </c>
      <c r="R36" s="1" t="str">
        <f t="shared" si="4"/>
        <v>9875A BURGUNDY/BURGUNDY</v>
      </c>
    </row>
    <row r="37" spans="1:18" x14ac:dyDescent="0.25">
      <c r="A37" s="17">
        <v>18</v>
      </c>
      <c r="B37" s="3" t="s">
        <v>128</v>
      </c>
      <c r="C37" s="3" t="s">
        <v>104</v>
      </c>
      <c r="D37" s="3" t="s">
        <v>130</v>
      </c>
      <c r="E37" s="3">
        <v>570242</v>
      </c>
      <c r="F37" s="4" t="s">
        <v>106</v>
      </c>
      <c r="G37" s="3">
        <v>80</v>
      </c>
      <c r="H37" s="3">
        <v>150</v>
      </c>
      <c r="I37" s="5">
        <f t="shared" si="5"/>
        <v>1.2</v>
      </c>
      <c r="J37" s="3">
        <v>4</v>
      </c>
      <c r="K37" s="5">
        <f t="shared" si="0"/>
        <v>4.8</v>
      </c>
      <c r="L37" s="3">
        <v>80</v>
      </c>
      <c r="M37" s="1">
        <v>150</v>
      </c>
      <c r="N37" s="1" t="s">
        <v>132</v>
      </c>
      <c r="O37" s="1" t="str">
        <f t="shared" si="2"/>
        <v>ETNO 0,8*1,5 Прямоугольник</v>
      </c>
      <c r="P37" s="1" t="s">
        <v>133</v>
      </c>
      <c r="Q37" s="1" t="str">
        <f t="shared" si="3"/>
        <v>Ковер ETNO 0,8*1,5 Прямоугольник</v>
      </c>
      <c r="R37" s="1" t="str">
        <f t="shared" si="4"/>
        <v>9875A BURGUNDY/BURGUNDY</v>
      </c>
    </row>
    <row r="38" spans="1:18" x14ac:dyDescent="0.25">
      <c r="A38" s="17">
        <v>19</v>
      </c>
      <c r="B38" s="3" t="s">
        <v>128</v>
      </c>
      <c r="C38" s="3" t="s">
        <v>108</v>
      </c>
      <c r="D38" s="3" t="s">
        <v>130</v>
      </c>
      <c r="E38" s="3">
        <v>570242</v>
      </c>
      <c r="F38" s="4" t="s">
        <v>107</v>
      </c>
      <c r="G38" s="3">
        <v>200</v>
      </c>
      <c r="H38" s="3">
        <v>300</v>
      </c>
      <c r="I38" s="5">
        <f t="shared" si="5"/>
        <v>6</v>
      </c>
      <c r="J38" s="3">
        <v>6</v>
      </c>
      <c r="K38" s="5">
        <f t="shared" si="0"/>
        <v>36</v>
      </c>
      <c r="L38" s="3">
        <v>200</v>
      </c>
      <c r="M38" s="1">
        <v>300</v>
      </c>
      <c r="N38" s="1" t="s">
        <v>132</v>
      </c>
      <c r="O38" s="1" t="str">
        <f t="shared" si="2"/>
        <v>ETNO 2*3 Прямоугольник</v>
      </c>
      <c r="P38" s="1" t="s">
        <v>133</v>
      </c>
      <c r="Q38" s="1" t="str">
        <f t="shared" si="3"/>
        <v>Ковер ETNO 2*3 Прямоугольник</v>
      </c>
      <c r="R38" s="1" t="str">
        <f t="shared" si="4"/>
        <v>9432A BURGUNDY/BURGUNDY</v>
      </c>
    </row>
    <row r="39" spans="1:18" x14ac:dyDescent="0.25">
      <c r="A39" s="17">
        <v>20</v>
      </c>
      <c r="B39" s="3" t="s">
        <v>128</v>
      </c>
      <c r="C39" s="3" t="s">
        <v>108</v>
      </c>
      <c r="D39" s="3" t="s">
        <v>130</v>
      </c>
      <c r="E39" s="3">
        <v>570242</v>
      </c>
      <c r="F39" s="4" t="s">
        <v>109</v>
      </c>
      <c r="G39" s="3">
        <v>150</v>
      </c>
      <c r="H39" s="3">
        <v>230</v>
      </c>
      <c r="I39" s="5">
        <f t="shared" si="5"/>
        <v>3.45</v>
      </c>
      <c r="J39" s="3">
        <v>6</v>
      </c>
      <c r="K39" s="5">
        <f t="shared" si="0"/>
        <v>20.700000000000003</v>
      </c>
      <c r="L39" s="3">
        <v>150</v>
      </c>
      <c r="M39" s="1">
        <v>230</v>
      </c>
      <c r="N39" s="1" t="s">
        <v>132</v>
      </c>
      <c r="O39" s="1" t="str">
        <f t="shared" si="2"/>
        <v>ETNO 1,5*2,3 Прямоугольник</v>
      </c>
      <c r="P39" s="1" t="s">
        <v>133</v>
      </c>
      <c r="Q39" s="1" t="str">
        <f t="shared" si="3"/>
        <v>Ковер ETNO 1,5*2,3 Прямоугольник</v>
      </c>
      <c r="R39" s="1" t="str">
        <f t="shared" si="4"/>
        <v>9432A BURGUNDY/BURGUNDY</v>
      </c>
    </row>
    <row r="40" spans="1:18" x14ac:dyDescent="0.25">
      <c r="A40" s="17">
        <v>21</v>
      </c>
      <c r="B40" s="3" t="s">
        <v>128</v>
      </c>
      <c r="C40" s="3" t="s">
        <v>108</v>
      </c>
      <c r="D40" s="3" t="s">
        <v>130</v>
      </c>
      <c r="E40" s="3">
        <v>570242</v>
      </c>
      <c r="F40" s="4" t="s">
        <v>110</v>
      </c>
      <c r="G40" s="3">
        <v>80</v>
      </c>
      <c r="H40" s="3">
        <v>150</v>
      </c>
      <c r="I40" s="5">
        <f t="shared" si="5"/>
        <v>1.2</v>
      </c>
      <c r="J40" s="3">
        <v>4</v>
      </c>
      <c r="K40" s="5">
        <f t="shared" si="0"/>
        <v>4.8</v>
      </c>
      <c r="L40" s="3">
        <v>80</v>
      </c>
      <c r="M40" s="1">
        <v>150</v>
      </c>
      <c r="N40" s="1" t="s">
        <v>132</v>
      </c>
      <c r="O40" s="1" t="str">
        <f t="shared" si="2"/>
        <v>ETNO 0,8*1,5 Прямоугольник</v>
      </c>
      <c r="P40" s="1" t="s">
        <v>133</v>
      </c>
      <c r="Q40" s="1" t="str">
        <f t="shared" si="3"/>
        <v>Ковер ETNO 0,8*1,5 Прямоугольник</v>
      </c>
      <c r="R40" s="1" t="str">
        <f t="shared" si="4"/>
        <v>9432A BURGUNDY/BURGUNDY</v>
      </c>
    </row>
    <row r="41" spans="1:18" x14ac:dyDescent="0.25">
      <c r="A41" s="17">
        <v>22</v>
      </c>
      <c r="B41" s="3" t="s">
        <v>128</v>
      </c>
      <c r="C41" s="3" t="s">
        <v>112</v>
      </c>
      <c r="D41" s="3" t="s">
        <v>130</v>
      </c>
      <c r="E41" s="3">
        <v>570242</v>
      </c>
      <c r="F41" s="4" t="s">
        <v>111</v>
      </c>
      <c r="G41" s="3">
        <v>200</v>
      </c>
      <c r="H41" s="3">
        <v>300</v>
      </c>
      <c r="I41" s="5">
        <f t="shared" si="5"/>
        <v>6</v>
      </c>
      <c r="J41" s="3">
        <v>6</v>
      </c>
      <c r="K41" s="5">
        <f t="shared" si="0"/>
        <v>36</v>
      </c>
      <c r="L41" s="3">
        <v>200</v>
      </c>
      <c r="M41" s="1">
        <v>300</v>
      </c>
      <c r="N41" s="1" t="s">
        <v>132</v>
      </c>
      <c r="O41" s="1" t="str">
        <f t="shared" si="2"/>
        <v>ETNO 2*3 Прямоугольник</v>
      </c>
      <c r="P41" s="1" t="s">
        <v>133</v>
      </c>
      <c r="Q41" s="1" t="str">
        <f t="shared" si="3"/>
        <v>Ковер ETNO 2*3 Прямоугольник</v>
      </c>
      <c r="R41" s="1" t="str">
        <f t="shared" si="4"/>
        <v>9970A BURGUNDY/BURGUNDY</v>
      </c>
    </row>
    <row r="42" spans="1:18" x14ac:dyDescent="0.25">
      <c r="A42" s="17">
        <v>23</v>
      </c>
      <c r="B42" s="3" t="s">
        <v>128</v>
      </c>
      <c r="C42" s="3" t="s">
        <v>112</v>
      </c>
      <c r="D42" s="3" t="s">
        <v>130</v>
      </c>
      <c r="E42" s="3">
        <v>570242</v>
      </c>
      <c r="F42" s="4" t="s">
        <v>113</v>
      </c>
      <c r="G42" s="3">
        <v>150</v>
      </c>
      <c r="H42" s="3">
        <v>230</v>
      </c>
      <c r="I42" s="5">
        <f t="shared" si="5"/>
        <v>3.45</v>
      </c>
      <c r="J42" s="3">
        <v>6</v>
      </c>
      <c r="K42" s="5">
        <f t="shared" si="0"/>
        <v>20.700000000000003</v>
      </c>
      <c r="L42" s="3">
        <v>150</v>
      </c>
      <c r="M42" s="1">
        <v>230</v>
      </c>
      <c r="N42" s="1" t="s">
        <v>132</v>
      </c>
      <c r="O42" s="1" t="str">
        <f t="shared" si="2"/>
        <v>ETNO 1,5*2,3 Прямоугольник</v>
      </c>
      <c r="P42" s="1" t="s">
        <v>133</v>
      </c>
      <c r="Q42" s="1" t="str">
        <f t="shared" si="3"/>
        <v>Ковер ETNO 1,5*2,3 Прямоугольник</v>
      </c>
      <c r="R42" s="1" t="str">
        <f t="shared" si="4"/>
        <v>9970A BURGUNDY/BURGUNDY</v>
      </c>
    </row>
    <row r="43" spans="1:18" ht="14.4" thickBot="1" x14ac:dyDescent="0.3">
      <c r="A43" s="18">
        <v>24</v>
      </c>
      <c r="B43" s="3" t="s">
        <v>128</v>
      </c>
      <c r="C43" s="19" t="s">
        <v>112</v>
      </c>
      <c r="D43" s="19" t="s">
        <v>130</v>
      </c>
      <c r="E43" s="19">
        <v>570242</v>
      </c>
      <c r="F43" s="20" t="s">
        <v>114</v>
      </c>
      <c r="G43" s="19">
        <v>80</v>
      </c>
      <c r="H43" s="19">
        <v>150</v>
      </c>
      <c r="I43" s="21">
        <f t="shared" ref="I43" si="6">G43*H43/10000</f>
        <v>1.2</v>
      </c>
      <c r="J43" s="19">
        <v>4</v>
      </c>
      <c r="K43" s="21">
        <f t="shared" si="0"/>
        <v>4.8</v>
      </c>
      <c r="L43" s="19">
        <v>80</v>
      </c>
      <c r="M43" s="1">
        <v>150</v>
      </c>
      <c r="N43" s="1" t="s">
        <v>132</v>
      </c>
      <c r="O43" s="1" t="str">
        <f t="shared" si="2"/>
        <v>ETNO 0,8*1,5 Прямоугольник</v>
      </c>
      <c r="P43" s="1" t="s">
        <v>133</v>
      </c>
      <c r="Q43" s="1" t="str">
        <f t="shared" si="3"/>
        <v>Ковер ETNO 0,8*1,5 Прямоугольник</v>
      </c>
      <c r="R43" s="1" t="str">
        <f t="shared" si="4"/>
        <v>9970A BURGUNDY/BURGUNDY</v>
      </c>
    </row>
    <row r="44" spans="1:18" ht="14.4" thickBot="1" x14ac:dyDescent="0.3">
      <c r="A44" s="13">
        <v>1</v>
      </c>
      <c r="B44" s="14" t="s">
        <v>129</v>
      </c>
      <c r="C44" s="14" t="s">
        <v>15</v>
      </c>
      <c r="D44" s="14" t="s">
        <v>131</v>
      </c>
      <c r="E44" s="14">
        <v>570242</v>
      </c>
      <c r="F44" s="15" t="s">
        <v>14</v>
      </c>
      <c r="G44" s="14">
        <v>300</v>
      </c>
      <c r="H44" s="14">
        <v>400</v>
      </c>
      <c r="I44" s="16">
        <f t="shared" si="1"/>
        <v>12</v>
      </c>
      <c r="J44" s="14">
        <v>4</v>
      </c>
      <c r="K44" s="16">
        <f t="shared" ref="K44:K75" si="7">I44*J44</f>
        <v>48</v>
      </c>
      <c r="L44" s="14">
        <v>300</v>
      </c>
      <c r="M44" s="1">
        <v>400</v>
      </c>
      <c r="N44" s="1" t="s">
        <v>132</v>
      </c>
      <c r="O44" s="1" t="str">
        <f t="shared" si="2"/>
        <v>LISSABON 3*4 Прямоугольник</v>
      </c>
      <c r="P44" s="1" t="s">
        <v>133</v>
      </c>
      <c r="Q44" s="1" t="str">
        <f t="shared" si="3"/>
        <v>Ковер LISSABON 3*4 Прямоугольник</v>
      </c>
      <c r="R44" s="1" t="str">
        <f t="shared" si="4"/>
        <v>6049B CREAM/CREAM</v>
      </c>
    </row>
    <row r="45" spans="1:18" ht="14.4" thickBot="1" x14ac:dyDescent="0.3">
      <c r="A45" s="17">
        <v>2</v>
      </c>
      <c r="B45" s="14" t="s">
        <v>129</v>
      </c>
      <c r="C45" s="3" t="s">
        <v>15</v>
      </c>
      <c r="D45" s="3" t="s">
        <v>131</v>
      </c>
      <c r="E45" s="3">
        <v>570242</v>
      </c>
      <c r="F45" s="4" t="s">
        <v>16</v>
      </c>
      <c r="G45" s="3">
        <v>250</v>
      </c>
      <c r="H45" s="3">
        <v>350</v>
      </c>
      <c r="I45" s="5">
        <f t="shared" si="1"/>
        <v>8.75</v>
      </c>
      <c r="J45" s="3">
        <v>2</v>
      </c>
      <c r="K45" s="5">
        <f t="shared" si="7"/>
        <v>17.5</v>
      </c>
      <c r="L45" s="3">
        <v>250</v>
      </c>
      <c r="M45" s="1">
        <v>350</v>
      </c>
      <c r="N45" s="1" t="s">
        <v>132</v>
      </c>
      <c r="O45" s="1" t="str">
        <f t="shared" si="2"/>
        <v>LISSABON 2,5*3,5 Прямоугольник</v>
      </c>
      <c r="P45" s="1" t="s">
        <v>133</v>
      </c>
      <c r="Q45" s="1" t="str">
        <f t="shared" si="3"/>
        <v>Ковер LISSABON 2,5*3,5 Прямоугольник</v>
      </c>
      <c r="R45" s="1" t="str">
        <f t="shared" si="4"/>
        <v>6049B CREAM/CREAM</v>
      </c>
    </row>
    <row r="46" spans="1:18" ht="14.4" thickBot="1" x14ac:dyDescent="0.3">
      <c r="A46" s="17">
        <v>3</v>
      </c>
      <c r="B46" s="14" t="s">
        <v>129</v>
      </c>
      <c r="C46" s="3" t="s">
        <v>15</v>
      </c>
      <c r="D46" s="3" t="s">
        <v>131</v>
      </c>
      <c r="E46" s="3">
        <v>570242</v>
      </c>
      <c r="F46" s="4" t="s">
        <v>17</v>
      </c>
      <c r="G46" s="3">
        <v>200</v>
      </c>
      <c r="H46" s="3">
        <v>300</v>
      </c>
      <c r="I46" s="5">
        <f t="shared" si="1"/>
        <v>6</v>
      </c>
      <c r="J46" s="3">
        <v>4</v>
      </c>
      <c r="K46" s="5">
        <f t="shared" si="7"/>
        <v>24</v>
      </c>
      <c r="L46" s="3">
        <v>200</v>
      </c>
      <c r="M46" s="1">
        <v>300</v>
      </c>
      <c r="N46" s="1" t="s">
        <v>132</v>
      </c>
      <c r="O46" s="1" t="str">
        <f t="shared" si="2"/>
        <v>LISSABON 2*3 Прямоугольник</v>
      </c>
      <c r="P46" s="1" t="s">
        <v>133</v>
      </c>
      <c r="Q46" s="1" t="str">
        <f t="shared" si="3"/>
        <v>Ковер LISSABON 2*3 Прямоугольник</v>
      </c>
      <c r="R46" s="1" t="str">
        <f t="shared" si="4"/>
        <v>6049B CREAM/CREAM</v>
      </c>
    </row>
    <row r="47" spans="1:18" ht="14.4" thickBot="1" x14ac:dyDescent="0.3">
      <c r="A47" s="17">
        <v>4</v>
      </c>
      <c r="B47" s="14" t="s">
        <v>129</v>
      </c>
      <c r="C47" s="3" t="s">
        <v>15</v>
      </c>
      <c r="D47" s="3" t="s">
        <v>131</v>
      </c>
      <c r="E47" s="3">
        <v>570242</v>
      </c>
      <c r="F47" s="4" t="s">
        <v>18</v>
      </c>
      <c r="G47" s="3">
        <v>150</v>
      </c>
      <c r="H47" s="3">
        <v>230</v>
      </c>
      <c r="I47" s="5">
        <f t="shared" si="1"/>
        <v>3.45</v>
      </c>
      <c r="J47" s="3">
        <v>4</v>
      </c>
      <c r="K47" s="5">
        <f t="shared" si="7"/>
        <v>13.8</v>
      </c>
      <c r="L47" s="3">
        <v>150</v>
      </c>
      <c r="M47" s="1">
        <v>230</v>
      </c>
      <c r="N47" s="1" t="s">
        <v>132</v>
      </c>
      <c r="O47" s="1" t="str">
        <f t="shared" si="2"/>
        <v>LISSABON 1,5*2,3 Прямоугольник</v>
      </c>
      <c r="P47" s="1" t="s">
        <v>133</v>
      </c>
      <c r="Q47" s="1" t="str">
        <f t="shared" si="3"/>
        <v>Ковер LISSABON 1,5*2,3 Прямоугольник</v>
      </c>
      <c r="R47" s="1" t="str">
        <f t="shared" si="4"/>
        <v>6049B CREAM/CREAM</v>
      </c>
    </row>
    <row r="48" spans="1:18" ht="14.4" thickBot="1" x14ac:dyDescent="0.3">
      <c r="A48" s="17">
        <v>5</v>
      </c>
      <c r="B48" s="14" t="s">
        <v>129</v>
      </c>
      <c r="C48" s="3" t="s">
        <v>20</v>
      </c>
      <c r="D48" s="3" t="s">
        <v>131</v>
      </c>
      <c r="E48" s="3">
        <v>570242</v>
      </c>
      <c r="F48" s="4" t="s">
        <v>19</v>
      </c>
      <c r="G48" s="3">
        <v>300</v>
      </c>
      <c r="H48" s="3">
        <v>400</v>
      </c>
      <c r="I48" s="5">
        <f t="shared" si="1"/>
        <v>12</v>
      </c>
      <c r="J48" s="3">
        <v>4</v>
      </c>
      <c r="K48" s="5">
        <f t="shared" si="7"/>
        <v>48</v>
      </c>
      <c r="L48" s="3">
        <v>300</v>
      </c>
      <c r="M48" s="1">
        <v>400</v>
      </c>
      <c r="N48" s="1" t="s">
        <v>132</v>
      </c>
      <c r="O48" s="1" t="str">
        <f t="shared" si="2"/>
        <v>LISSABON 3*4 Прямоугольник</v>
      </c>
      <c r="P48" s="1" t="s">
        <v>133</v>
      </c>
      <c r="Q48" s="1" t="str">
        <f t="shared" si="3"/>
        <v>Ковер LISSABON 3*4 Прямоугольник</v>
      </c>
      <c r="R48" s="1" t="str">
        <f t="shared" si="4"/>
        <v>6743B CREAM/CREAM</v>
      </c>
    </row>
    <row r="49" spans="1:18" ht="14.4" thickBot="1" x14ac:dyDescent="0.3">
      <c r="A49" s="17">
        <v>6</v>
      </c>
      <c r="B49" s="14" t="s">
        <v>129</v>
      </c>
      <c r="C49" s="3" t="s">
        <v>20</v>
      </c>
      <c r="D49" s="3" t="s">
        <v>131</v>
      </c>
      <c r="E49" s="3">
        <v>570242</v>
      </c>
      <c r="F49" s="4" t="s">
        <v>21</v>
      </c>
      <c r="G49" s="3">
        <v>250</v>
      </c>
      <c r="H49" s="3">
        <v>350</v>
      </c>
      <c r="I49" s="5">
        <f t="shared" si="1"/>
        <v>8.75</v>
      </c>
      <c r="J49" s="3">
        <v>4</v>
      </c>
      <c r="K49" s="5">
        <f t="shared" si="7"/>
        <v>35</v>
      </c>
      <c r="L49" s="3">
        <v>250</v>
      </c>
      <c r="M49" s="1">
        <v>350</v>
      </c>
      <c r="N49" s="1" t="s">
        <v>132</v>
      </c>
      <c r="O49" s="1" t="str">
        <f t="shared" si="2"/>
        <v>LISSABON 2,5*3,5 Прямоугольник</v>
      </c>
      <c r="P49" s="1" t="s">
        <v>133</v>
      </c>
      <c r="Q49" s="1" t="str">
        <f t="shared" si="3"/>
        <v>Ковер LISSABON 2,5*3,5 Прямоугольник</v>
      </c>
      <c r="R49" s="1" t="str">
        <f t="shared" si="4"/>
        <v>6743B CREAM/CREAM</v>
      </c>
    </row>
    <row r="50" spans="1:18" ht="14.4" thickBot="1" x14ac:dyDescent="0.3">
      <c r="A50" s="17">
        <v>7</v>
      </c>
      <c r="B50" s="14" t="s">
        <v>129</v>
      </c>
      <c r="C50" s="3" t="s">
        <v>20</v>
      </c>
      <c r="D50" s="3" t="s">
        <v>131</v>
      </c>
      <c r="E50" s="3">
        <v>570242</v>
      </c>
      <c r="F50" s="4" t="s">
        <v>22</v>
      </c>
      <c r="G50" s="3">
        <v>200</v>
      </c>
      <c r="H50" s="3">
        <v>300</v>
      </c>
      <c r="I50" s="5">
        <f t="shared" si="1"/>
        <v>6</v>
      </c>
      <c r="J50" s="3">
        <v>8</v>
      </c>
      <c r="K50" s="5">
        <f t="shared" si="7"/>
        <v>48</v>
      </c>
      <c r="L50" s="3">
        <v>200</v>
      </c>
      <c r="M50" s="1">
        <v>300</v>
      </c>
      <c r="N50" s="1" t="s">
        <v>132</v>
      </c>
      <c r="O50" s="1" t="str">
        <f t="shared" si="2"/>
        <v>LISSABON 2*3 Прямоугольник</v>
      </c>
      <c r="P50" s="1" t="s">
        <v>133</v>
      </c>
      <c r="Q50" s="1" t="str">
        <f t="shared" si="3"/>
        <v>Ковер LISSABON 2*3 Прямоугольник</v>
      </c>
      <c r="R50" s="1" t="str">
        <f t="shared" si="4"/>
        <v>6743B CREAM/CREAM</v>
      </c>
    </row>
    <row r="51" spans="1:18" ht="14.4" thickBot="1" x14ac:dyDescent="0.3">
      <c r="A51" s="17">
        <v>8</v>
      </c>
      <c r="B51" s="14" t="s">
        <v>129</v>
      </c>
      <c r="C51" s="3" t="s">
        <v>20</v>
      </c>
      <c r="D51" s="3" t="s">
        <v>131</v>
      </c>
      <c r="E51" s="3">
        <v>570242</v>
      </c>
      <c r="F51" s="4" t="s">
        <v>23</v>
      </c>
      <c r="G51" s="3">
        <v>150</v>
      </c>
      <c r="H51" s="3">
        <v>230</v>
      </c>
      <c r="I51" s="5">
        <f t="shared" si="1"/>
        <v>3.45</v>
      </c>
      <c r="J51" s="3">
        <v>4</v>
      </c>
      <c r="K51" s="5">
        <f t="shared" si="7"/>
        <v>13.8</v>
      </c>
      <c r="L51" s="3">
        <v>150</v>
      </c>
      <c r="M51" s="1">
        <v>230</v>
      </c>
      <c r="N51" s="1" t="s">
        <v>132</v>
      </c>
      <c r="O51" s="1" t="str">
        <f t="shared" si="2"/>
        <v>LISSABON 1,5*2,3 Прямоугольник</v>
      </c>
      <c r="P51" s="1" t="s">
        <v>133</v>
      </c>
      <c r="Q51" s="1" t="str">
        <f t="shared" si="3"/>
        <v>Ковер LISSABON 1,5*2,3 Прямоугольник</v>
      </c>
      <c r="R51" s="1" t="str">
        <f t="shared" si="4"/>
        <v>6743B CREAM/CREAM</v>
      </c>
    </row>
    <row r="52" spans="1:18" ht="14.4" thickBot="1" x14ac:dyDescent="0.3">
      <c r="A52" s="17">
        <v>9</v>
      </c>
      <c r="B52" s="14" t="s">
        <v>129</v>
      </c>
      <c r="C52" s="3" t="s">
        <v>25</v>
      </c>
      <c r="D52" s="3" t="s">
        <v>131</v>
      </c>
      <c r="E52" s="3">
        <v>570242</v>
      </c>
      <c r="F52" s="4" t="s">
        <v>24</v>
      </c>
      <c r="G52" s="3">
        <v>250</v>
      </c>
      <c r="H52" s="3">
        <v>350</v>
      </c>
      <c r="I52" s="5">
        <f t="shared" si="1"/>
        <v>8.75</v>
      </c>
      <c r="J52" s="3">
        <v>2</v>
      </c>
      <c r="K52" s="5">
        <f t="shared" si="7"/>
        <v>17.5</v>
      </c>
      <c r="L52" s="3">
        <v>250</v>
      </c>
      <c r="M52" s="1">
        <v>350</v>
      </c>
      <c r="N52" s="1" t="s">
        <v>132</v>
      </c>
      <c r="O52" s="1" t="str">
        <f t="shared" si="2"/>
        <v>LISSABON 2,5*3,5 Прямоугольник</v>
      </c>
      <c r="P52" s="1" t="s">
        <v>133</v>
      </c>
      <c r="Q52" s="1" t="str">
        <f t="shared" si="3"/>
        <v>Ковер LISSABON 2,5*3,5 Прямоугольник</v>
      </c>
      <c r="R52" s="1" t="str">
        <f t="shared" si="4"/>
        <v>7481A CREAM/CREAM</v>
      </c>
    </row>
    <row r="53" spans="1:18" ht="14.4" thickBot="1" x14ac:dyDescent="0.3">
      <c r="A53" s="17">
        <v>10</v>
      </c>
      <c r="B53" s="14" t="s">
        <v>129</v>
      </c>
      <c r="C53" s="3" t="s">
        <v>25</v>
      </c>
      <c r="D53" s="3" t="s">
        <v>131</v>
      </c>
      <c r="E53" s="3">
        <v>570242</v>
      </c>
      <c r="F53" s="4" t="s">
        <v>26</v>
      </c>
      <c r="G53" s="3">
        <v>200</v>
      </c>
      <c r="H53" s="3">
        <v>300</v>
      </c>
      <c r="I53" s="5">
        <f t="shared" si="1"/>
        <v>6</v>
      </c>
      <c r="J53" s="3">
        <v>4</v>
      </c>
      <c r="K53" s="5">
        <f t="shared" si="7"/>
        <v>24</v>
      </c>
      <c r="L53" s="3">
        <v>200</v>
      </c>
      <c r="M53" s="1">
        <v>300</v>
      </c>
      <c r="N53" s="1" t="s">
        <v>132</v>
      </c>
      <c r="O53" s="1" t="str">
        <f t="shared" si="2"/>
        <v>LISSABON 2*3 Прямоугольник</v>
      </c>
      <c r="P53" s="1" t="s">
        <v>133</v>
      </c>
      <c r="Q53" s="1" t="str">
        <f t="shared" si="3"/>
        <v>Ковер LISSABON 2*3 Прямоугольник</v>
      </c>
      <c r="R53" s="1" t="str">
        <f t="shared" si="4"/>
        <v>7481A CREAM/CREAM</v>
      </c>
    </row>
    <row r="54" spans="1:18" ht="14.4" thickBot="1" x14ac:dyDescent="0.3">
      <c r="A54" s="17">
        <v>11</v>
      </c>
      <c r="B54" s="14" t="s">
        <v>129</v>
      </c>
      <c r="C54" s="3" t="s">
        <v>25</v>
      </c>
      <c r="D54" s="3" t="s">
        <v>131</v>
      </c>
      <c r="E54" s="3">
        <v>570242</v>
      </c>
      <c r="F54" s="4" t="s">
        <v>27</v>
      </c>
      <c r="G54" s="3">
        <v>150</v>
      </c>
      <c r="H54" s="3">
        <v>230</v>
      </c>
      <c r="I54" s="5">
        <f t="shared" si="1"/>
        <v>3.45</v>
      </c>
      <c r="J54" s="3">
        <v>4</v>
      </c>
      <c r="K54" s="5">
        <f t="shared" si="7"/>
        <v>13.8</v>
      </c>
      <c r="L54" s="3">
        <v>150</v>
      </c>
      <c r="M54" s="1">
        <v>230</v>
      </c>
      <c r="N54" s="1" t="s">
        <v>132</v>
      </c>
      <c r="O54" s="1" t="str">
        <f t="shared" si="2"/>
        <v>LISSABON 1,5*2,3 Прямоугольник</v>
      </c>
      <c r="P54" s="1" t="s">
        <v>133</v>
      </c>
      <c r="Q54" s="1" t="str">
        <f t="shared" si="3"/>
        <v>Ковер LISSABON 1,5*2,3 Прямоугольник</v>
      </c>
      <c r="R54" s="1" t="str">
        <f t="shared" si="4"/>
        <v>7481A CREAM/CREAM</v>
      </c>
    </row>
    <row r="55" spans="1:18" ht="14.4" thickBot="1" x14ac:dyDescent="0.3">
      <c r="A55" s="17">
        <v>12</v>
      </c>
      <c r="B55" s="14" t="s">
        <v>129</v>
      </c>
      <c r="C55" s="3" t="s">
        <v>29</v>
      </c>
      <c r="D55" s="3" t="s">
        <v>131</v>
      </c>
      <c r="E55" s="3">
        <v>570242</v>
      </c>
      <c r="F55" s="4" t="s">
        <v>28</v>
      </c>
      <c r="G55" s="3">
        <v>300</v>
      </c>
      <c r="H55" s="3">
        <v>400</v>
      </c>
      <c r="I55" s="5">
        <f t="shared" si="1"/>
        <v>12</v>
      </c>
      <c r="J55" s="3">
        <v>2</v>
      </c>
      <c r="K55" s="5">
        <f t="shared" si="7"/>
        <v>24</v>
      </c>
      <c r="L55" s="3">
        <v>300</v>
      </c>
      <c r="M55" s="1">
        <v>400</v>
      </c>
      <c r="N55" s="1" t="s">
        <v>132</v>
      </c>
      <c r="O55" s="1" t="str">
        <f t="shared" si="2"/>
        <v>LISSABON 3*4 Прямоугольник</v>
      </c>
      <c r="P55" s="1" t="s">
        <v>133</v>
      </c>
      <c r="Q55" s="1" t="str">
        <f t="shared" si="3"/>
        <v>Ковер LISSABON 3*4 Прямоугольник</v>
      </c>
      <c r="R55" s="1" t="str">
        <f t="shared" si="4"/>
        <v>7731A CREAM/CREAM</v>
      </c>
    </row>
    <row r="56" spans="1:18" ht="14.4" thickBot="1" x14ac:dyDescent="0.3">
      <c r="A56" s="17">
        <v>13</v>
      </c>
      <c r="B56" s="14" t="s">
        <v>129</v>
      </c>
      <c r="C56" s="3" t="s">
        <v>29</v>
      </c>
      <c r="D56" s="3" t="s">
        <v>131</v>
      </c>
      <c r="E56" s="3">
        <v>570242</v>
      </c>
      <c r="F56" s="4" t="s">
        <v>30</v>
      </c>
      <c r="G56" s="3">
        <v>250</v>
      </c>
      <c r="H56" s="3">
        <v>350</v>
      </c>
      <c r="I56" s="5">
        <f t="shared" si="1"/>
        <v>8.75</v>
      </c>
      <c r="J56" s="3">
        <v>2</v>
      </c>
      <c r="K56" s="5">
        <f t="shared" si="7"/>
        <v>17.5</v>
      </c>
      <c r="L56" s="3">
        <v>250</v>
      </c>
      <c r="M56" s="1">
        <v>350</v>
      </c>
      <c r="N56" s="1" t="s">
        <v>132</v>
      </c>
      <c r="O56" s="1" t="str">
        <f t="shared" si="2"/>
        <v>LISSABON 2,5*3,5 Прямоугольник</v>
      </c>
      <c r="P56" s="1" t="s">
        <v>133</v>
      </c>
      <c r="Q56" s="1" t="str">
        <f t="shared" si="3"/>
        <v>Ковер LISSABON 2,5*3,5 Прямоугольник</v>
      </c>
      <c r="R56" s="1" t="str">
        <f t="shared" si="4"/>
        <v>7731A CREAM/CREAM</v>
      </c>
    </row>
    <row r="57" spans="1:18" ht="14.4" thickBot="1" x14ac:dyDescent="0.3">
      <c r="A57" s="17">
        <v>14</v>
      </c>
      <c r="B57" s="14" t="s">
        <v>129</v>
      </c>
      <c r="C57" s="3" t="s">
        <v>29</v>
      </c>
      <c r="D57" s="3" t="s">
        <v>131</v>
      </c>
      <c r="E57" s="3">
        <v>570242</v>
      </c>
      <c r="F57" s="4" t="s">
        <v>31</v>
      </c>
      <c r="G57" s="3">
        <v>200</v>
      </c>
      <c r="H57" s="3">
        <v>300</v>
      </c>
      <c r="I57" s="5">
        <f t="shared" si="1"/>
        <v>6</v>
      </c>
      <c r="J57" s="3">
        <v>4</v>
      </c>
      <c r="K57" s="5">
        <f t="shared" si="7"/>
        <v>24</v>
      </c>
      <c r="L57" s="3">
        <v>200</v>
      </c>
      <c r="M57" s="1">
        <v>300</v>
      </c>
      <c r="N57" s="1" t="s">
        <v>132</v>
      </c>
      <c r="O57" s="1" t="str">
        <f t="shared" si="2"/>
        <v>LISSABON 2*3 Прямоугольник</v>
      </c>
      <c r="P57" s="1" t="s">
        <v>133</v>
      </c>
      <c r="Q57" s="1" t="str">
        <f t="shared" si="3"/>
        <v>Ковер LISSABON 2*3 Прямоугольник</v>
      </c>
      <c r="R57" s="1" t="str">
        <f t="shared" si="4"/>
        <v>7731A CREAM/CREAM</v>
      </c>
    </row>
    <row r="58" spans="1:18" ht="14.4" thickBot="1" x14ac:dyDescent="0.3">
      <c r="A58" s="17">
        <v>15</v>
      </c>
      <c r="B58" s="14" t="s">
        <v>129</v>
      </c>
      <c r="C58" s="3" t="s">
        <v>29</v>
      </c>
      <c r="D58" s="3" t="s">
        <v>131</v>
      </c>
      <c r="E58" s="3">
        <v>570242</v>
      </c>
      <c r="F58" s="4" t="s">
        <v>32</v>
      </c>
      <c r="G58" s="3">
        <v>150</v>
      </c>
      <c r="H58" s="3">
        <v>230</v>
      </c>
      <c r="I58" s="5">
        <f t="shared" si="1"/>
        <v>3.45</v>
      </c>
      <c r="J58" s="3">
        <v>4</v>
      </c>
      <c r="K58" s="5">
        <f t="shared" si="7"/>
        <v>13.8</v>
      </c>
      <c r="L58" s="3">
        <v>150</v>
      </c>
      <c r="M58" s="1">
        <v>230</v>
      </c>
      <c r="N58" s="1" t="s">
        <v>132</v>
      </c>
      <c r="O58" s="1" t="str">
        <f t="shared" si="2"/>
        <v>LISSABON 1,5*2,3 Прямоугольник</v>
      </c>
      <c r="P58" s="1" t="s">
        <v>133</v>
      </c>
      <c r="Q58" s="1" t="str">
        <f t="shared" si="3"/>
        <v>Ковер LISSABON 1,5*2,3 Прямоугольник</v>
      </c>
      <c r="R58" s="1" t="str">
        <f t="shared" si="4"/>
        <v>7731A CREAM/CREAM</v>
      </c>
    </row>
    <row r="59" spans="1:18" ht="14.4" thickBot="1" x14ac:dyDescent="0.3">
      <c r="A59" s="17">
        <v>16</v>
      </c>
      <c r="B59" s="14" t="s">
        <v>129</v>
      </c>
      <c r="C59" s="3" t="s">
        <v>34</v>
      </c>
      <c r="D59" s="3" t="s">
        <v>131</v>
      </c>
      <c r="E59" s="3">
        <v>570242</v>
      </c>
      <c r="F59" s="4" t="s">
        <v>33</v>
      </c>
      <c r="G59" s="3">
        <v>300</v>
      </c>
      <c r="H59" s="3">
        <v>500</v>
      </c>
      <c r="I59" s="5">
        <f t="shared" si="1"/>
        <v>15</v>
      </c>
      <c r="J59" s="3">
        <v>2</v>
      </c>
      <c r="K59" s="5">
        <f t="shared" si="7"/>
        <v>30</v>
      </c>
      <c r="L59" s="3">
        <v>300</v>
      </c>
      <c r="M59" s="1">
        <v>500</v>
      </c>
      <c r="N59" s="1" t="s">
        <v>132</v>
      </c>
      <c r="O59" s="1" t="str">
        <f t="shared" si="2"/>
        <v>LISSABON 3*5 Прямоугольник</v>
      </c>
      <c r="P59" s="1" t="s">
        <v>133</v>
      </c>
      <c r="Q59" s="1" t="str">
        <f t="shared" si="3"/>
        <v>Ковер LISSABON 3*5 Прямоугольник</v>
      </c>
      <c r="R59" s="1" t="str">
        <f t="shared" si="4"/>
        <v>9296A CREAM/CREAM</v>
      </c>
    </row>
    <row r="60" spans="1:18" ht="14.4" thickBot="1" x14ac:dyDescent="0.3">
      <c r="A60" s="17">
        <v>17</v>
      </c>
      <c r="B60" s="14" t="s">
        <v>129</v>
      </c>
      <c r="C60" s="3" t="s">
        <v>34</v>
      </c>
      <c r="D60" s="3" t="s">
        <v>131</v>
      </c>
      <c r="E60" s="3">
        <v>570242</v>
      </c>
      <c r="F60" s="4" t="s">
        <v>35</v>
      </c>
      <c r="G60" s="3">
        <v>300</v>
      </c>
      <c r="H60" s="3">
        <v>400</v>
      </c>
      <c r="I60" s="5">
        <f t="shared" si="1"/>
        <v>12</v>
      </c>
      <c r="J60" s="3">
        <v>2</v>
      </c>
      <c r="K60" s="5">
        <f t="shared" si="7"/>
        <v>24</v>
      </c>
      <c r="L60" s="3">
        <v>300</v>
      </c>
      <c r="M60" s="1">
        <v>400</v>
      </c>
      <c r="N60" s="1" t="s">
        <v>132</v>
      </c>
      <c r="O60" s="1" t="str">
        <f t="shared" si="2"/>
        <v>LISSABON 3*4 Прямоугольник</v>
      </c>
      <c r="P60" s="1" t="s">
        <v>133</v>
      </c>
      <c r="Q60" s="1" t="str">
        <f t="shared" si="3"/>
        <v>Ковер LISSABON 3*4 Прямоугольник</v>
      </c>
      <c r="R60" s="1" t="str">
        <f t="shared" si="4"/>
        <v>9296A CREAM/CREAM</v>
      </c>
    </row>
    <row r="61" spans="1:18" ht="14.4" thickBot="1" x14ac:dyDescent="0.3">
      <c r="A61" s="17">
        <v>18</v>
      </c>
      <c r="B61" s="14" t="s">
        <v>129</v>
      </c>
      <c r="C61" s="3" t="s">
        <v>34</v>
      </c>
      <c r="D61" s="3" t="s">
        <v>131</v>
      </c>
      <c r="E61" s="3">
        <v>570242</v>
      </c>
      <c r="F61" s="4" t="s">
        <v>36</v>
      </c>
      <c r="G61" s="3">
        <v>250</v>
      </c>
      <c r="H61" s="3">
        <v>350</v>
      </c>
      <c r="I61" s="5">
        <f t="shared" si="1"/>
        <v>8.75</v>
      </c>
      <c r="J61" s="3">
        <v>2</v>
      </c>
      <c r="K61" s="5">
        <f t="shared" si="7"/>
        <v>17.5</v>
      </c>
      <c r="L61" s="3">
        <v>250</v>
      </c>
      <c r="M61" s="1">
        <v>350</v>
      </c>
      <c r="N61" s="1" t="s">
        <v>132</v>
      </c>
      <c r="O61" s="1" t="str">
        <f t="shared" si="2"/>
        <v>LISSABON 2,5*3,5 Прямоугольник</v>
      </c>
      <c r="P61" s="1" t="s">
        <v>133</v>
      </c>
      <c r="Q61" s="1" t="str">
        <f t="shared" si="3"/>
        <v>Ковер LISSABON 2,5*3,5 Прямоугольник</v>
      </c>
      <c r="R61" s="1" t="str">
        <f t="shared" si="4"/>
        <v>9296A CREAM/CREAM</v>
      </c>
    </row>
    <row r="62" spans="1:18" ht="14.4" thickBot="1" x14ac:dyDescent="0.3">
      <c r="A62" s="17">
        <v>19</v>
      </c>
      <c r="B62" s="14" t="s">
        <v>129</v>
      </c>
      <c r="C62" s="3" t="s">
        <v>34</v>
      </c>
      <c r="D62" s="3" t="s">
        <v>131</v>
      </c>
      <c r="E62" s="3">
        <v>570242</v>
      </c>
      <c r="F62" s="4" t="s">
        <v>37</v>
      </c>
      <c r="G62" s="3">
        <v>200</v>
      </c>
      <c r="H62" s="3">
        <v>300</v>
      </c>
      <c r="I62" s="5">
        <f t="shared" si="1"/>
        <v>6</v>
      </c>
      <c r="J62" s="3">
        <v>8</v>
      </c>
      <c r="K62" s="5">
        <f t="shared" si="7"/>
        <v>48</v>
      </c>
      <c r="L62" s="3">
        <v>200</v>
      </c>
      <c r="M62" s="1">
        <v>300</v>
      </c>
      <c r="N62" s="1" t="s">
        <v>132</v>
      </c>
      <c r="O62" s="1" t="str">
        <f t="shared" si="2"/>
        <v>LISSABON 2*3 Прямоугольник</v>
      </c>
      <c r="P62" s="1" t="s">
        <v>133</v>
      </c>
      <c r="Q62" s="1" t="str">
        <f t="shared" si="3"/>
        <v>Ковер LISSABON 2*3 Прямоугольник</v>
      </c>
      <c r="R62" s="1" t="str">
        <f t="shared" si="4"/>
        <v>9296A CREAM/CREAM</v>
      </c>
    </row>
    <row r="63" spans="1:18" ht="14.4" thickBot="1" x14ac:dyDescent="0.3">
      <c r="A63" s="17">
        <v>20</v>
      </c>
      <c r="B63" s="14" t="s">
        <v>129</v>
      </c>
      <c r="C63" s="3" t="s">
        <v>34</v>
      </c>
      <c r="D63" s="3" t="s">
        <v>131</v>
      </c>
      <c r="E63" s="3">
        <v>570242</v>
      </c>
      <c r="F63" s="4" t="s">
        <v>38</v>
      </c>
      <c r="G63" s="3">
        <v>150</v>
      </c>
      <c r="H63" s="3">
        <v>230</v>
      </c>
      <c r="I63" s="5">
        <f t="shared" si="1"/>
        <v>3.45</v>
      </c>
      <c r="J63" s="3">
        <v>8</v>
      </c>
      <c r="K63" s="5">
        <f t="shared" si="7"/>
        <v>27.6</v>
      </c>
      <c r="L63" s="3">
        <v>150</v>
      </c>
      <c r="M63" s="1">
        <v>230</v>
      </c>
      <c r="N63" s="1" t="s">
        <v>132</v>
      </c>
      <c r="O63" s="1" t="str">
        <f t="shared" si="2"/>
        <v>LISSABON 1,5*2,3 Прямоугольник</v>
      </c>
      <c r="P63" s="1" t="s">
        <v>133</v>
      </c>
      <c r="Q63" s="1" t="str">
        <f t="shared" si="3"/>
        <v>Ковер LISSABON 1,5*2,3 Прямоугольник</v>
      </c>
      <c r="R63" s="1" t="str">
        <f t="shared" si="4"/>
        <v>9296A CREAM/CREAM</v>
      </c>
    </row>
    <row r="64" spans="1:18" ht="14.4" thickBot="1" x14ac:dyDescent="0.3">
      <c r="A64" s="17">
        <v>21</v>
      </c>
      <c r="B64" s="14" t="s">
        <v>129</v>
      </c>
      <c r="C64" s="3" t="s">
        <v>40</v>
      </c>
      <c r="D64" s="3" t="s">
        <v>131</v>
      </c>
      <c r="E64" s="3">
        <v>570242</v>
      </c>
      <c r="F64" s="4" t="s">
        <v>39</v>
      </c>
      <c r="G64" s="3">
        <v>300</v>
      </c>
      <c r="H64" s="3">
        <v>400</v>
      </c>
      <c r="I64" s="5">
        <f t="shared" si="1"/>
        <v>12</v>
      </c>
      <c r="J64" s="3">
        <v>2</v>
      </c>
      <c r="K64" s="5">
        <f t="shared" si="7"/>
        <v>24</v>
      </c>
      <c r="L64" s="3">
        <v>300</v>
      </c>
      <c r="M64" s="1">
        <v>400</v>
      </c>
      <c r="N64" s="1" t="s">
        <v>132</v>
      </c>
      <c r="O64" s="1" t="str">
        <f t="shared" si="2"/>
        <v>LISSABON 3*4 Прямоугольник</v>
      </c>
      <c r="P64" s="1" t="s">
        <v>133</v>
      </c>
      <c r="Q64" s="1" t="str">
        <f t="shared" si="3"/>
        <v>Ковер LISSABON 3*4 Прямоугольник</v>
      </c>
      <c r="R64" s="1" t="str">
        <f t="shared" si="4"/>
        <v>9582A CREAM/CREAM</v>
      </c>
    </row>
    <row r="65" spans="1:18" ht="14.4" thickBot="1" x14ac:dyDescent="0.3">
      <c r="A65" s="17">
        <v>22</v>
      </c>
      <c r="B65" s="14" t="s">
        <v>129</v>
      </c>
      <c r="C65" s="3" t="s">
        <v>40</v>
      </c>
      <c r="D65" s="3" t="s">
        <v>131</v>
      </c>
      <c r="E65" s="3">
        <v>570242</v>
      </c>
      <c r="F65" s="4" t="s">
        <v>41</v>
      </c>
      <c r="G65" s="3">
        <v>250</v>
      </c>
      <c r="H65" s="3">
        <v>350</v>
      </c>
      <c r="I65" s="5">
        <f t="shared" si="1"/>
        <v>8.75</v>
      </c>
      <c r="J65" s="3">
        <v>4</v>
      </c>
      <c r="K65" s="5">
        <f t="shared" si="7"/>
        <v>35</v>
      </c>
      <c r="L65" s="3">
        <v>250</v>
      </c>
      <c r="M65" s="1">
        <v>350</v>
      </c>
      <c r="N65" s="1" t="s">
        <v>132</v>
      </c>
      <c r="O65" s="1" t="str">
        <f t="shared" si="2"/>
        <v>LISSABON 2,5*3,5 Прямоугольник</v>
      </c>
      <c r="P65" s="1" t="s">
        <v>133</v>
      </c>
      <c r="Q65" s="1" t="str">
        <f t="shared" si="3"/>
        <v>Ковер LISSABON 2,5*3,5 Прямоугольник</v>
      </c>
      <c r="R65" s="1" t="str">
        <f t="shared" si="4"/>
        <v>9582A CREAM/CREAM</v>
      </c>
    </row>
    <row r="66" spans="1:18" ht="14.4" thickBot="1" x14ac:dyDescent="0.3">
      <c r="A66" s="17">
        <v>23</v>
      </c>
      <c r="B66" s="14" t="s">
        <v>129</v>
      </c>
      <c r="C66" s="3" t="s">
        <v>40</v>
      </c>
      <c r="D66" s="3" t="s">
        <v>131</v>
      </c>
      <c r="E66" s="3">
        <v>570242</v>
      </c>
      <c r="F66" s="4" t="s">
        <v>42</v>
      </c>
      <c r="G66" s="3">
        <v>200</v>
      </c>
      <c r="H66" s="3">
        <v>300</v>
      </c>
      <c r="I66" s="5">
        <f t="shared" si="1"/>
        <v>6</v>
      </c>
      <c r="J66" s="3">
        <v>6</v>
      </c>
      <c r="K66" s="5">
        <f t="shared" si="7"/>
        <v>36</v>
      </c>
      <c r="L66" s="3">
        <v>200</v>
      </c>
      <c r="M66" s="1">
        <v>300</v>
      </c>
      <c r="N66" s="1" t="s">
        <v>132</v>
      </c>
      <c r="O66" s="1" t="str">
        <f t="shared" si="2"/>
        <v>LISSABON 2*3 Прямоугольник</v>
      </c>
      <c r="P66" s="1" t="s">
        <v>133</v>
      </c>
      <c r="Q66" s="1" t="str">
        <f t="shared" si="3"/>
        <v>Ковер LISSABON 2*3 Прямоугольник</v>
      </c>
      <c r="R66" s="1" t="str">
        <f t="shared" si="4"/>
        <v>9582A CREAM/CREAM</v>
      </c>
    </row>
    <row r="67" spans="1:18" ht="14.4" thickBot="1" x14ac:dyDescent="0.3">
      <c r="A67" s="17">
        <v>24</v>
      </c>
      <c r="B67" s="14" t="s">
        <v>129</v>
      </c>
      <c r="C67" s="3" t="s">
        <v>40</v>
      </c>
      <c r="D67" s="3" t="s">
        <v>131</v>
      </c>
      <c r="E67" s="3">
        <v>570242</v>
      </c>
      <c r="F67" s="4" t="s">
        <v>43</v>
      </c>
      <c r="G67" s="3">
        <v>150</v>
      </c>
      <c r="H67" s="3">
        <v>230</v>
      </c>
      <c r="I67" s="5">
        <f t="shared" si="1"/>
        <v>3.45</v>
      </c>
      <c r="J67" s="3">
        <v>4</v>
      </c>
      <c r="K67" s="5">
        <f t="shared" si="7"/>
        <v>13.8</v>
      </c>
      <c r="L67" s="3">
        <v>150</v>
      </c>
      <c r="M67" s="1">
        <v>230</v>
      </c>
      <c r="N67" s="1" t="s">
        <v>132</v>
      </c>
      <c r="O67" s="1" t="str">
        <f t="shared" si="2"/>
        <v>LISSABON 1,5*2,3 Прямоугольник</v>
      </c>
      <c r="P67" s="1" t="s">
        <v>133</v>
      </c>
      <c r="Q67" s="1" t="str">
        <f t="shared" si="3"/>
        <v>Ковер LISSABON 1,5*2,3 Прямоугольник</v>
      </c>
      <c r="R67" s="1" t="str">
        <f t="shared" si="4"/>
        <v>9582A CREAM/CREAM</v>
      </c>
    </row>
    <row r="68" spans="1:18" ht="14.4" thickBot="1" x14ac:dyDescent="0.3">
      <c r="A68" s="17">
        <v>25</v>
      </c>
      <c r="B68" s="14" t="s">
        <v>129</v>
      </c>
      <c r="C68" s="3" t="s">
        <v>45</v>
      </c>
      <c r="D68" s="3" t="s">
        <v>131</v>
      </c>
      <c r="E68" s="3">
        <v>570242</v>
      </c>
      <c r="F68" s="4" t="s">
        <v>44</v>
      </c>
      <c r="G68" s="3">
        <v>300</v>
      </c>
      <c r="H68" s="3">
        <v>400</v>
      </c>
      <c r="I68" s="5">
        <f t="shared" si="1"/>
        <v>12</v>
      </c>
      <c r="J68" s="3">
        <v>2</v>
      </c>
      <c r="K68" s="5">
        <f t="shared" si="7"/>
        <v>24</v>
      </c>
      <c r="L68" s="3">
        <v>300</v>
      </c>
      <c r="M68" s="1">
        <v>400</v>
      </c>
      <c r="N68" s="1" t="s">
        <v>132</v>
      </c>
      <c r="O68" s="1" t="str">
        <f t="shared" si="2"/>
        <v>LISSABON 3*4 Прямоугольник</v>
      </c>
      <c r="P68" s="1" t="s">
        <v>133</v>
      </c>
      <c r="Q68" s="1" t="str">
        <f t="shared" si="3"/>
        <v>Ковер LISSABON 3*4 Прямоугольник</v>
      </c>
      <c r="R68" s="1" t="str">
        <f t="shared" si="4"/>
        <v>9882A CREAM/CREAM</v>
      </c>
    </row>
    <row r="69" spans="1:18" ht="14.4" thickBot="1" x14ac:dyDescent="0.3">
      <c r="A69" s="17">
        <v>26</v>
      </c>
      <c r="B69" s="14" t="s">
        <v>129</v>
      </c>
      <c r="C69" s="3" t="s">
        <v>45</v>
      </c>
      <c r="D69" s="3" t="s">
        <v>131</v>
      </c>
      <c r="E69" s="3">
        <v>570242</v>
      </c>
      <c r="F69" s="4" t="s">
        <v>46</v>
      </c>
      <c r="G69" s="3">
        <v>250</v>
      </c>
      <c r="H69" s="3">
        <v>350</v>
      </c>
      <c r="I69" s="5">
        <f t="shared" si="1"/>
        <v>8.75</v>
      </c>
      <c r="J69" s="3">
        <v>4</v>
      </c>
      <c r="K69" s="5">
        <f t="shared" si="7"/>
        <v>35</v>
      </c>
      <c r="L69" s="3">
        <v>250</v>
      </c>
      <c r="M69" s="1">
        <v>350</v>
      </c>
      <c r="N69" s="1" t="s">
        <v>132</v>
      </c>
      <c r="O69" s="1" t="str">
        <f t="shared" si="2"/>
        <v>LISSABON 2,5*3,5 Прямоугольник</v>
      </c>
      <c r="P69" s="1" t="s">
        <v>133</v>
      </c>
      <c r="Q69" s="1" t="str">
        <f t="shared" si="3"/>
        <v>Ковер LISSABON 2,5*3,5 Прямоугольник</v>
      </c>
      <c r="R69" s="1" t="str">
        <f t="shared" si="4"/>
        <v>9882A CREAM/CREAM</v>
      </c>
    </row>
    <row r="70" spans="1:18" ht="14.4" thickBot="1" x14ac:dyDescent="0.3">
      <c r="A70" s="17">
        <v>27</v>
      </c>
      <c r="B70" s="14" t="s">
        <v>129</v>
      </c>
      <c r="C70" s="3" t="s">
        <v>45</v>
      </c>
      <c r="D70" s="3" t="s">
        <v>131</v>
      </c>
      <c r="E70" s="3">
        <v>570242</v>
      </c>
      <c r="F70" s="4" t="s">
        <v>47</v>
      </c>
      <c r="G70" s="3">
        <v>200</v>
      </c>
      <c r="H70" s="3">
        <v>300</v>
      </c>
      <c r="I70" s="5">
        <f t="shared" si="1"/>
        <v>6</v>
      </c>
      <c r="J70" s="3">
        <v>6</v>
      </c>
      <c r="K70" s="5">
        <f t="shared" si="7"/>
        <v>36</v>
      </c>
      <c r="L70" s="3">
        <v>200</v>
      </c>
      <c r="M70" s="1">
        <v>300</v>
      </c>
      <c r="N70" s="1" t="s">
        <v>132</v>
      </c>
      <c r="O70" s="1" t="str">
        <f t="shared" si="2"/>
        <v>LISSABON 2*3 Прямоугольник</v>
      </c>
      <c r="P70" s="1" t="s">
        <v>133</v>
      </c>
      <c r="Q70" s="1" t="str">
        <f t="shared" si="3"/>
        <v>Ковер LISSABON 2*3 Прямоугольник</v>
      </c>
      <c r="R70" s="1" t="str">
        <f t="shared" si="4"/>
        <v>9882A CREAM/CREAM</v>
      </c>
    </row>
    <row r="71" spans="1:18" ht="14.4" thickBot="1" x14ac:dyDescent="0.3">
      <c r="A71" s="17">
        <v>28</v>
      </c>
      <c r="B71" s="14" t="s">
        <v>129</v>
      </c>
      <c r="C71" s="3" t="s">
        <v>45</v>
      </c>
      <c r="D71" s="3" t="s">
        <v>131</v>
      </c>
      <c r="E71" s="3">
        <v>570242</v>
      </c>
      <c r="F71" s="4" t="s">
        <v>48</v>
      </c>
      <c r="G71" s="3">
        <v>150</v>
      </c>
      <c r="H71" s="3">
        <v>230</v>
      </c>
      <c r="I71" s="5">
        <f t="shared" si="1"/>
        <v>3.45</v>
      </c>
      <c r="J71" s="3">
        <v>4</v>
      </c>
      <c r="K71" s="5">
        <f t="shared" si="7"/>
        <v>13.8</v>
      </c>
      <c r="L71" s="3">
        <v>150</v>
      </c>
      <c r="M71" s="1">
        <v>230</v>
      </c>
      <c r="N71" s="1" t="s">
        <v>132</v>
      </c>
      <c r="O71" s="1" t="str">
        <f t="shared" si="2"/>
        <v>LISSABON 1,5*2,3 Прямоугольник</v>
      </c>
      <c r="P71" s="1" t="s">
        <v>133</v>
      </c>
      <c r="Q71" s="1" t="str">
        <f t="shared" si="3"/>
        <v>Ковер LISSABON 1,5*2,3 Прямоугольник</v>
      </c>
      <c r="R71" s="1" t="str">
        <f t="shared" si="4"/>
        <v>9882A CREAM/CREAM</v>
      </c>
    </row>
    <row r="72" spans="1:18" ht="14.4" thickBot="1" x14ac:dyDescent="0.3">
      <c r="A72" s="17">
        <v>29</v>
      </c>
      <c r="B72" s="14" t="s">
        <v>129</v>
      </c>
      <c r="C72" s="3" t="s">
        <v>45</v>
      </c>
      <c r="D72" s="3" t="s">
        <v>131</v>
      </c>
      <c r="E72" s="3">
        <v>570242</v>
      </c>
      <c r="F72" s="4" t="s">
        <v>49</v>
      </c>
      <c r="G72" s="3">
        <v>80</v>
      </c>
      <c r="H72" s="3">
        <v>150</v>
      </c>
      <c r="I72" s="5">
        <f t="shared" si="1"/>
        <v>1.2</v>
      </c>
      <c r="J72" s="3">
        <v>8</v>
      </c>
      <c r="K72" s="5">
        <f t="shared" si="7"/>
        <v>9.6</v>
      </c>
      <c r="L72" s="3">
        <v>80</v>
      </c>
      <c r="M72" s="1">
        <v>150</v>
      </c>
      <c r="N72" s="1" t="s">
        <v>132</v>
      </c>
      <c r="O72" s="1" t="str">
        <f t="shared" si="2"/>
        <v>LISSABON 0,8*1,5 Прямоугольник</v>
      </c>
      <c r="P72" s="1" t="s">
        <v>133</v>
      </c>
      <c r="Q72" s="1" t="str">
        <f t="shared" si="3"/>
        <v>Ковер LISSABON 0,8*1,5 Прямоугольник</v>
      </c>
      <c r="R72" s="1" t="str">
        <f t="shared" si="4"/>
        <v>9882A CREAM/CREAM</v>
      </c>
    </row>
    <row r="73" spans="1:18" ht="14.4" thickBot="1" x14ac:dyDescent="0.3">
      <c r="A73" s="17">
        <v>30</v>
      </c>
      <c r="B73" s="14" t="s">
        <v>129</v>
      </c>
      <c r="C73" s="3" t="s">
        <v>51</v>
      </c>
      <c r="D73" s="3" t="s">
        <v>131</v>
      </c>
      <c r="E73" s="3">
        <v>570242</v>
      </c>
      <c r="F73" s="4" t="s">
        <v>50</v>
      </c>
      <c r="G73" s="3">
        <v>400</v>
      </c>
      <c r="H73" s="3">
        <v>500</v>
      </c>
      <c r="I73" s="5">
        <f t="shared" si="1"/>
        <v>20</v>
      </c>
      <c r="J73" s="3">
        <v>4</v>
      </c>
      <c r="K73" s="5">
        <f t="shared" si="7"/>
        <v>80</v>
      </c>
      <c r="L73" s="3">
        <v>400</v>
      </c>
      <c r="M73" s="1">
        <v>500</v>
      </c>
      <c r="N73" s="1" t="s">
        <v>132</v>
      </c>
      <c r="O73" s="1" t="str">
        <f t="shared" si="2"/>
        <v>LISSABON 4*5 Прямоугольник</v>
      </c>
      <c r="P73" s="1" t="s">
        <v>133</v>
      </c>
      <c r="Q73" s="1" t="str">
        <f t="shared" si="3"/>
        <v>Ковер LISSABON 4*5 Прямоугольник</v>
      </c>
      <c r="R73" s="1" t="str">
        <f t="shared" si="4"/>
        <v>9048A CREAM/CREAM</v>
      </c>
    </row>
    <row r="74" spans="1:18" ht="14.4" thickBot="1" x14ac:dyDescent="0.3">
      <c r="A74" s="17">
        <v>31</v>
      </c>
      <c r="B74" s="14" t="s">
        <v>129</v>
      </c>
      <c r="C74" s="3" t="s">
        <v>51</v>
      </c>
      <c r="D74" s="3" t="s">
        <v>131</v>
      </c>
      <c r="E74" s="3">
        <v>570242</v>
      </c>
      <c r="F74" s="4" t="s">
        <v>52</v>
      </c>
      <c r="G74" s="3">
        <v>300</v>
      </c>
      <c r="H74" s="3">
        <v>500</v>
      </c>
      <c r="I74" s="5">
        <f t="shared" si="1"/>
        <v>15</v>
      </c>
      <c r="J74" s="3">
        <v>2</v>
      </c>
      <c r="K74" s="5">
        <f t="shared" si="7"/>
        <v>30</v>
      </c>
      <c r="L74" s="3">
        <v>300</v>
      </c>
      <c r="M74" s="1">
        <v>500</v>
      </c>
      <c r="N74" s="1" t="s">
        <v>132</v>
      </c>
      <c r="O74" s="1" t="str">
        <f t="shared" si="2"/>
        <v>LISSABON 3*5 Прямоугольник</v>
      </c>
      <c r="P74" s="1" t="s">
        <v>133</v>
      </c>
      <c r="Q74" s="1" t="str">
        <f t="shared" si="3"/>
        <v>Ковер LISSABON 3*5 Прямоугольник</v>
      </c>
      <c r="R74" s="1" t="str">
        <f t="shared" si="4"/>
        <v>9048A CREAM/CREAM</v>
      </c>
    </row>
    <row r="75" spans="1:18" ht="14.4" thickBot="1" x14ac:dyDescent="0.3">
      <c r="A75" s="17">
        <v>32</v>
      </c>
      <c r="B75" s="14" t="s">
        <v>129</v>
      </c>
      <c r="C75" s="3" t="s">
        <v>51</v>
      </c>
      <c r="D75" s="3" t="s">
        <v>131</v>
      </c>
      <c r="E75" s="3">
        <v>570242</v>
      </c>
      <c r="F75" s="4" t="s">
        <v>53</v>
      </c>
      <c r="G75" s="3">
        <v>300</v>
      </c>
      <c r="H75" s="3">
        <v>400</v>
      </c>
      <c r="I75" s="5">
        <f t="shared" si="1"/>
        <v>12</v>
      </c>
      <c r="J75" s="3">
        <v>2</v>
      </c>
      <c r="K75" s="5">
        <f t="shared" si="7"/>
        <v>24</v>
      </c>
      <c r="L75" s="3">
        <v>300</v>
      </c>
      <c r="M75" s="1">
        <v>400</v>
      </c>
      <c r="N75" s="1" t="s">
        <v>132</v>
      </c>
      <c r="O75" s="1" t="str">
        <f t="shared" si="2"/>
        <v>LISSABON 3*4 Прямоугольник</v>
      </c>
      <c r="P75" s="1" t="s">
        <v>133</v>
      </c>
      <c r="Q75" s="1" t="str">
        <f t="shared" si="3"/>
        <v>Ковер LISSABON 3*4 Прямоугольник</v>
      </c>
      <c r="R75" s="1" t="str">
        <f t="shared" si="4"/>
        <v>9048A CREAM/CREAM</v>
      </c>
    </row>
    <row r="76" spans="1:18" ht="14.4" thickBot="1" x14ac:dyDescent="0.3">
      <c r="A76" s="17">
        <v>33</v>
      </c>
      <c r="B76" s="14" t="s">
        <v>129</v>
      </c>
      <c r="C76" s="3" t="s">
        <v>51</v>
      </c>
      <c r="D76" s="3" t="s">
        <v>131</v>
      </c>
      <c r="E76" s="3">
        <v>570242</v>
      </c>
      <c r="F76" s="4" t="s">
        <v>54</v>
      </c>
      <c r="G76" s="3">
        <v>250</v>
      </c>
      <c r="H76" s="3">
        <v>350</v>
      </c>
      <c r="I76" s="5">
        <f t="shared" si="1"/>
        <v>8.75</v>
      </c>
      <c r="J76" s="3">
        <v>4</v>
      </c>
      <c r="K76" s="5">
        <f t="shared" ref="K76:K107" si="8">I76*J76</f>
        <v>35</v>
      </c>
      <c r="L76" s="3">
        <v>250</v>
      </c>
      <c r="M76" s="1">
        <v>350</v>
      </c>
      <c r="N76" s="1" t="s">
        <v>132</v>
      </c>
      <c r="O76" s="1" t="str">
        <f t="shared" si="2"/>
        <v>LISSABON 2,5*3,5 Прямоугольник</v>
      </c>
      <c r="P76" s="1" t="s">
        <v>133</v>
      </c>
      <c r="Q76" s="1" t="str">
        <f t="shared" si="3"/>
        <v>Ковер LISSABON 2,5*3,5 Прямоугольник</v>
      </c>
      <c r="R76" s="1" t="str">
        <f t="shared" si="4"/>
        <v>9048A CREAM/CREAM</v>
      </c>
    </row>
    <row r="77" spans="1:18" ht="14.4" thickBot="1" x14ac:dyDescent="0.3">
      <c r="A77" s="17">
        <v>34</v>
      </c>
      <c r="B77" s="14" t="s">
        <v>129</v>
      </c>
      <c r="C77" s="3" t="s">
        <v>51</v>
      </c>
      <c r="D77" s="3" t="s">
        <v>131</v>
      </c>
      <c r="E77" s="3">
        <v>570242</v>
      </c>
      <c r="F77" s="4" t="s">
        <v>55</v>
      </c>
      <c r="G77" s="3">
        <v>200</v>
      </c>
      <c r="H77" s="3">
        <v>300</v>
      </c>
      <c r="I77" s="5">
        <f t="shared" si="1"/>
        <v>6</v>
      </c>
      <c r="J77" s="3">
        <v>8</v>
      </c>
      <c r="K77" s="5">
        <f t="shared" si="8"/>
        <v>48</v>
      </c>
      <c r="L77" s="3">
        <v>200</v>
      </c>
      <c r="M77" s="1">
        <v>300</v>
      </c>
      <c r="N77" s="1" t="s">
        <v>132</v>
      </c>
      <c r="O77" s="1" t="str">
        <f t="shared" si="2"/>
        <v>LISSABON 2*3 Прямоугольник</v>
      </c>
      <c r="P77" s="1" t="s">
        <v>133</v>
      </c>
      <c r="Q77" s="1" t="str">
        <f t="shared" si="3"/>
        <v>Ковер LISSABON 2*3 Прямоугольник</v>
      </c>
      <c r="R77" s="1" t="str">
        <f t="shared" si="4"/>
        <v>9048A CREAM/CREAM</v>
      </c>
    </row>
    <row r="78" spans="1:18" ht="14.4" thickBot="1" x14ac:dyDescent="0.3">
      <c r="A78" s="17">
        <v>35</v>
      </c>
      <c r="B78" s="14" t="s">
        <v>129</v>
      </c>
      <c r="C78" s="3" t="s">
        <v>51</v>
      </c>
      <c r="D78" s="3" t="s">
        <v>131</v>
      </c>
      <c r="E78" s="3">
        <v>570242</v>
      </c>
      <c r="F78" s="4" t="s">
        <v>56</v>
      </c>
      <c r="G78" s="3">
        <v>150</v>
      </c>
      <c r="H78" s="3">
        <v>230</v>
      </c>
      <c r="I78" s="5">
        <f t="shared" si="1"/>
        <v>3.45</v>
      </c>
      <c r="J78" s="3">
        <v>8</v>
      </c>
      <c r="K78" s="5">
        <f t="shared" si="8"/>
        <v>27.6</v>
      </c>
      <c r="L78" s="3">
        <v>150</v>
      </c>
      <c r="M78" s="1">
        <v>230</v>
      </c>
      <c r="N78" s="1" t="s">
        <v>132</v>
      </c>
      <c r="O78" s="1" t="str">
        <f t="shared" si="2"/>
        <v>LISSABON 1,5*2,3 Прямоугольник</v>
      </c>
      <c r="P78" s="1" t="s">
        <v>133</v>
      </c>
      <c r="Q78" s="1" t="str">
        <f t="shared" si="3"/>
        <v>Ковер LISSABON 1,5*2,3 Прямоугольник</v>
      </c>
      <c r="R78" s="1" t="str">
        <f t="shared" si="4"/>
        <v>9048A CREAM/CREAM</v>
      </c>
    </row>
    <row r="79" spans="1:18" ht="14.4" thickBot="1" x14ac:dyDescent="0.3">
      <c r="A79" s="17">
        <v>36</v>
      </c>
      <c r="B79" s="14" t="s">
        <v>129</v>
      </c>
      <c r="C79" s="3" t="s">
        <v>51</v>
      </c>
      <c r="D79" s="3" t="s">
        <v>131</v>
      </c>
      <c r="E79" s="3">
        <v>570242</v>
      </c>
      <c r="F79" s="4" t="s">
        <v>57</v>
      </c>
      <c r="G79" s="3">
        <v>80</v>
      </c>
      <c r="H79" s="3">
        <v>150</v>
      </c>
      <c r="I79" s="5">
        <f t="shared" si="1"/>
        <v>1.2</v>
      </c>
      <c r="J79" s="3">
        <v>4</v>
      </c>
      <c r="K79" s="5">
        <f t="shared" si="8"/>
        <v>4.8</v>
      </c>
      <c r="L79" s="3">
        <v>80</v>
      </c>
      <c r="M79" s="1">
        <v>150</v>
      </c>
      <c r="N79" s="1" t="s">
        <v>132</v>
      </c>
      <c r="O79" s="1" t="str">
        <f t="shared" si="2"/>
        <v>LISSABON 0,8*1,5 Прямоугольник</v>
      </c>
      <c r="P79" s="1" t="s">
        <v>133</v>
      </c>
      <c r="Q79" s="1" t="str">
        <f t="shared" si="3"/>
        <v>Ковер LISSABON 0,8*1,5 Прямоугольник</v>
      </c>
      <c r="R79" s="1" t="str">
        <f t="shared" si="4"/>
        <v>9048A CREAM/CREAM</v>
      </c>
    </row>
    <row r="80" spans="1:18" ht="14.4" thickBot="1" x14ac:dyDescent="0.3">
      <c r="A80" s="17">
        <v>37</v>
      </c>
      <c r="B80" s="14" t="s">
        <v>129</v>
      </c>
      <c r="C80" s="3" t="s">
        <v>59</v>
      </c>
      <c r="D80" s="3" t="s">
        <v>131</v>
      </c>
      <c r="E80" s="3">
        <v>570242</v>
      </c>
      <c r="F80" s="4" t="s">
        <v>58</v>
      </c>
      <c r="G80" s="3">
        <v>400</v>
      </c>
      <c r="H80" s="3">
        <v>500</v>
      </c>
      <c r="I80" s="5">
        <f t="shared" si="1"/>
        <v>20</v>
      </c>
      <c r="J80" s="3">
        <v>4</v>
      </c>
      <c r="K80" s="5">
        <f t="shared" si="8"/>
        <v>80</v>
      </c>
      <c r="L80" s="3">
        <v>400</v>
      </c>
      <c r="M80" s="1">
        <v>500</v>
      </c>
      <c r="N80" s="1" t="s">
        <v>132</v>
      </c>
      <c r="O80" s="1" t="str">
        <f t="shared" si="2"/>
        <v>LISSABON 4*5 Прямоугольник</v>
      </c>
      <c r="P80" s="1" t="s">
        <v>133</v>
      </c>
      <c r="Q80" s="1" t="str">
        <f t="shared" si="3"/>
        <v>Ковер LISSABON 4*5 Прямоугольник</v>
      </c>
      <c r="R80" s="1" t="str">
        <f t="shared" si="4"/>
        <v>8999A CREAM/CREAM</v>
      </c>
    </row>
    <row r="81" spans="1:18" ht="14.4" thickBot="1" x14ac:dyDescent="0.3">
      <c r="A81" s="17">
        <v>38</v>
      </c>
      <c r="B81" s="14" t="s">
        <v>129</v>
      </c>
      <c r="C81" s="3" t="s">
        <v>59</v>
      </c>
      <c r="D81" s="3" t="s">
        <v>131</v>
      </c>
      <c r="E81" s="3">
        <v>570242</v>
      </c>
      <c r="F81" s="4" t="s">
        <v>60</v>
      </c>
      <c r="G81" s="3">
        <v>300</v>
      </c>
      <c r="H81" s="3">
        <v>500</v>
      </c>
      <c r="I81" s="5">
        <f t="shared" si="1"/>
        <v>15</v>
      </c>
      <c r="J81" s="3">
        <v>2</v>
      </c>
      <c r="K81" s="5">
        <f t="shared" si="8"/>
        <v>30</v>
      </c>
      <c r="L81" s="3">
        <v>300</v>
      </c>
      <c r="M81" s="1">
        <v>500</v>
      </c>
      <c r="N81" s="1" t="s">
        <v>132</v>
      </c>
      <c r="O81" s="1" t="str">
        <f t="shared" si="2"/>
        <v>LISSABON 3*5 Прямоугольник</v>
      </c>
      <c r="P81" s="1" t="s">
        <v>133</v>
      </c>
      <c r="Q81" s="1" t="str">
        <f t="shared" si="3"/>
        <v>Ковер LISSABON 3*5 Прямоугольник</v>
      </c>
      <c r="R81" s="1" t="str">
        <f t="shared" si="4"/>
        <v>8999A CREAM/CREAM</v>
      </c>
    </row>
    <row r="82" spans="1:18" ht="14.4" thickBot="1" x14ac:dyDescent="0.3">
      <c r="A82" s="17">
        <v>39</v>
      </c>
      <c r="B82" s="14" t="s">
        <v>129</v>
      </c>
      <c r="C82" s="3" t="s">
        <v>59</v>
      </c>
      <c r="D82" s="3" t="s">
        <v>131</v>
      </c>
      <c r="E82" s="3">
        <v>570242</v>
      </c>
      <c r="F82" s="4" t="s">
        <v>61</v>
      </c>
      <c r="G82" s="3">
        <v>300</v>
      </c>
      <c r="H82" s="3">
        <v>400</v>
      </c>
      <c r="I82" s="5">
        <f t="shared" si="1"/>
        <v>12</v>
      </c>
      <c r="J82" s="3">
        <v>2</v>
      </c>
      <c r="K82" s="5">
        <f t="shared" si="8"/>
        <v>24</v>
      </c>
      <c r="L82" s="3">
        <v>300</v>
      </c>
      <c r="M82" s="1">
        <v>400</v>
      </c>
      <c r="N82" s="1" t="s">
        <v>132</v>
      </c>
      <c r="O82" s="1" t="str">
        <f t="shared" si="2"/>
        <v>LISSABON 3*4 Прямоугольник</v>
      </c>
      <c r="P82" s="1" t="s">
        <v>133</v>
      </c>
      <c r="Q82" s="1" t="str">
        <f t="shared" si="3"/>
        <v>Ковер LISSABON 3*4 Прямоугольник</v>
      </c>
      <c r="R82" s="1" t="str">
        <f t="shared" si="4"/>
        <v>8999A CREAM/CREAM</v>
      </c>
    </row>
    <row r="83" spans="1:18" ht="14.4" thickBot="1" x14ac:dyDescent="0.3">
      <c r="A83" s="17">
        <v>40</v>
      </c>
      <c r="B83" s="14" t="s">
        <v>129</v>
      </c>
      <c r="C83" s="3" t="s">
        <v>59</v>
      </c>
      <c r="D83" s="3" t="s">
        <v>131</v>
      </c>
      <c r="E83" s="3">
        <v>570242</v>
      </c>
      <c r="F83" s="4" t="s">
        <v>62</v>
      </c>
      <c r="G83" s="3">
        <v>250</v>
      </c>
      <c r="H83" s="3">
        <v>350</v>
      </c>
      <c r="I83" s="5">
        <f t="shared" si="1"/>
        <v>8.75</v>
      </c>
      <c r="J83" s="3">
        <v>4</v>
      </c>
      <c r="K83" s="5">
        <f t="shared" si="8"/>
        <v>35</v>
      </c>
      <c r="L83" s="3">
        <v>250</v>
      </c>
      <c r="M83" s="1">
        <v>350</v>
      </c>
      <c r="N83" s="1" t="s">
        <v>132</v>
      </c>
      <c r="O83" s="1" t="str">
        <f t="shared" si="2"/>
        <v>LISSABON 2,5*3,5 Прямоугольник</v>
      </c>
      <c r="P83" s="1" t="s">
        <v>133</v>
      </c>
      <c r="Q83" s="1" t="str">
        <f t="shared" si="3"/>
        <v>Ковер LISSABON 2,5*3,5 Прямоугольник</v>
      </c>
      <c r="R83" s="1" t="str">
        <f t="shared" si="4"/>
        <v>8999A CREAM/CREAM</v>
      </c>
    </row>
    <row r="84" spans="1:18" ht="14.4" thickBot="1" x14ac:dyDescent="0.3">
      <c r="A84" s="17">
        <v>41</v>
      </c>
      <c r="B84" s="14" t="s">
        <v>129</v>
      </c>
      <c r="C84" s="3" t="s">
        <v>59</v>
      </c>
      <c r="D84" s="3" t="s">
        <v>131</v>
      </c>
      <c r="E84" s="3">
        <v>570242</v>
      </c>
      <c r="F84" s="4" t="s">
        <v>63</v>
      </c>
      <c r="G84" s="3">
        <v>200</v>
      </c>
      <c r="H84" s="3">
        <v>300</v>
      </c>
      <c r="I84" s="5">
        <f t="shared" si="1"/>
        <v>6</v>
      </c>
      <c r="J84" s="3">
        <v>8</v>
      </c>
      <c r="K84" s="5">
        <f t="shared" si="8"/>
        <v>48</v>
      </c>
      <c r="L84" s="3">
        <v>200</v>
      </c>
      <c r="M84" s="1">
        <v>300</v>
      </c>
      <c r="N84" s="1" t="s">
        <v>132</v>
      </c>
      <c r="O84" s="1" t="str">
        <f t="shared" si="2"/>
        <v>LISSABON 2*3 Прямоугольник</v>
      </c>
      <c r="P84" s="1" t="s">
        <v>133</v>
      </c>
      <c r="Q84" s="1" t="str">
        <f t="shared" si="3"/>
        <v>Ковер LISSABON 2*3 Прямоугольник</v>
      </c>
      <c r="R84" s="1" t="str">
        <f t="shared" si="4"/>
        <v>8999A CREAM/CREAM</v>
      </c>
    </row>
    <row r="85" spans="1:18" ht="14.4" thickBot="1" x14ac:dyDescent="0.3">
      <c r="A85" s="17">
        <v>42</v>
      </c>
      <c r="B85" s="14" t="s">
        <v>129</v>
      </c>
      <c r="C85" s="3" t="s">
        <v>59</v>
      </c>
      <c r="D85" s="3" t="s">
        <v>131</v>
      </c>
      <c r="E85" s="3">
        <v>570242</v>
      </c>
      <c r="F85" s="4" t="s">
        <v>64</v>
      </c>
      <c r="G85" s="3">
        <v>150</v>
      </c>
      <c r="H85" s="3">
        <v>230</v>
      </c>
      <c r="I85" s="5">
        <f t="shared" si="1"/>
        <v>3.45</v>
      </c>
      <c r="J85" s="3">
        <v>8</v>
      </c>
      <c r="K85" s="5">
        <f t="shared" si="8"/>
        <v>27.6</v>
      </c>
      <c r="L85" s="3">
        <v>150</v>
      </c>
      <c r="M85" s="1">
        <v>230</v>
      </c>
      <c r="N85" s="1" t="s">
        <v>132</v>
      </c>
      <c r="O85" s="1" t="str">
        <f t="shared" ref="O85:O108" si="9">CONCATENATE(B85," ",(G85/100),"*",(H85/100)," Прямоугольник")</f>
        <v>LISSABON 1,5*2,3 Прямоугольник</v>
      </c>
      <c r="P85" s="1" t="s">
        <v>133</v>
      </c>
      <c r="Q85" s="1" t="str">
        <f t="shared" ref="Q85:Q108" si="10">CONCATENATE(,"Ковер"," ",O85)</f>
        <v>Ковер LISSABON 1,5*2,3 Прямоугольник</v>
      </c>
      <c r="R85" s="1" t="str">
        <f t="shared" ref="R85:R108" si="11">CONCATENATE(C85," ",D85)</f>
        <v>8999A CREAM/CREAM</v>
      </c>
    </row>
    <row r="86" spans="1:18" ht="14.4" thickBot="1" x14ac:dyDescent="0.3">
      <c r="A86" s="17">
        <v>43</v>
      </c>
      <c r="B86" s="14" t="s">
        <v>129</v>
      </c>
      <c r="C86" s="3" t="s">
        <v>59</v>
      </c>
      <c r="D86" s="3" t="s">
        <v>131</v>
      </c>
      <c r="E86" s="3">
        <v>570242</v>
      </c>
      <c r="F86" s="4" t="s">
        <v>65</v>
      </c>
      <c r="G86" s="3">
        <v>80</v>
      </c>
      <c r="H86" s="3">
        <v>150</v>
      </c>
      <c r="I86" s="5">
        <f t="shared" si="1"/>
        <v>1.2</v>
      </c>
      <c r="J86" s="3">
        <v>8</v>
      </c>
      <c r="K86" s="5">
        <f t="shared" si="8"/>
        <v>9.6</v>
      </c>
      <c r="L86" s="3">
        <v>80</v>
      </c>
      <c r="M86" s="1">
        <v>150</v>
      </c>
      <c r="N86" s="1" t="s">
        <v>132</v>
      </c>
      <c r="O86" s="1" t="str">
        <f t="shared" si="9"/>
        <v>LISSABON 0,8*1,5 Прямоугольник</v>
      </c>
      <c r="P86" s="1" t="s">
        <v>133</v>
      </c>
      <c r="Q86" s="1" t="str">
        <f t="shared" si="10"/>
        <v>Ковер LISSABON 0,8*1,5 Прямоугольник</v>
      </c>
      <c r="R86" s="1" t="str">
        <f t="shared" si="11"/>
        <v>8999A CREAM/CREAM</v>
      </c>
    </row>
    <row r="87" spans="1:18" ht="14.4" thickBot="1" x14ac:dyDescent="0.3">
      <c r="A87" s="17">
        <v>44</v>
      </c>
      <c r="B87" s="14" t="s">
        <v>129</v>
      </c>
      <c r="C87" s="3" t="s">
        <v>67</v>
      </c>
      <c r="D87" s="3" t="s">
        <v>131</v>
      </c>
      <c r="E87" s="3">
        <v>570242</v>
      </c>
      <c r="F87" s="4" t="s">
        <v>66</v>
      </c>
      <c r="G87" s="3">
        <v>400</v>
      </c>
      <c r="H87" s="3">
        <v>500</v>
      </c>
      <c r="I87" s="5">
        <f t="shared" si="1"/>
        <v>20</v>
      </c>
      <c r="J87" s="3">
        <v>4</v>
      </c>
      <c r="K87" s="5">
        <f t="shared" si="8"/>
        <v>80</v>
      </c>
      <c r="L87" s="3">
        <v>400</v>
      </c>
      <c r="M87" s="1">
        <v>500</v>
      </c>
      <c r="N87" s="1" t="s">
        <v>132</v>
      </c>
      <c r="O87" s="1" t="str">
        <f t="shared" si="9"/>
        <v>LISSABON 4*5 Прямоугольник</v>
      </c>
      <c r="P87" s="1" t="s">
        <v>133</v>
      </c>
      <c r="Q87" s="1" t="str">
        <f t="shared" si="10"/>
        <v>Ковер LISSABON 4*5 Прямоугольник</v>
      </c>
      <c r="R87" s="1" t="str">
        <f t="shared" si="11"/>
        <v>9081A CREAM/CREAM</v>
      </c>
    </row>
    <row r="88" spans="1:18" ht="14.4" thickBot="1" x14ac:dyDescent="0.3">
      <c r="A88" s="17">
        <v>45</v>
      </c>
      <c r="B88" s="14" t="s">
        <v>129</v>
      </c>
      <c r="C88" s="3" t="s">
        <v>67</v>
      </c>
      <c r="D88" s="3" t="s">
        <v>131</v>
      </c>
      <c r="E88" s="3">
        <v>570242</v>
      </c>
      <c r="F88" s="4" t="s">
        <v>68</v>
      </c>
      <c r="G88" s="3">
        <v>300</v>
      </c>
      <c r="H88" s="3">
        <v>500</v>
      </c>
      <c r="I88" s="5">
        <f t="shared" si="1"/>
        <v>15</v>
      </c>
      <c r="J88" s="3">
        <v>2</v>
      </c>
      <c r="K88" s="5">
        <f t="shared" si="8"/>
        <v>30</v>
      </c>
      <c r="L88" s="3">
        <v>300</v>
      </c>
      <c r="M88" s="1">
        <v>500</v>
      </c>
      <c r="N88" s="1" t="s">
        <v>132</v>
      </c>
      <c r="O88" s="1" t="str">
        <f t="shared" si="9"/>
        <v>LISSABON 3*5 Прямоугольник</v>
      </c>
      <c r="P88" s="1" t="s">
        <v>133</v>
      </c>
      <c r="Q88" s="1" t="str">
        <f t="shared" si="10"/>
        <v>Ковер LISSABON 3*5 Прямоугольник</v>
      </c>
      <c r="R88" s="1" t="str">
        <f t="shared" si="11"/>
        <v>9081A CREAM/CREAM</v>
      </c>
    </row>
    <row r="89" spans="1:18" ht="14.4" thickBot="1" x14ac:dyDescent="0.3">
      <c r="A89" s="17">
        <v>46</v>
      </c>
      <c r="B89" s="14" t="s">
        <v>129</v>
      </c>
      <c r="C89" s="3" t="s">
        <v>67</v>
      </c>
      <c r="D89" s="3" t="s">
        <v>131</v>
      </c>
      <c r="E89" s="3">
        <v>570242</v>
      </c>
      <c r="F89" s="4" t="s">
        <v>69</v>
      </c>
      <c r="G89" s="3">
        <v>300</v>
      </c>
      <c r="H89" s="3">
        <v>400</v>
      </c>
      <c r="I89" s="5">
        <f t="shared" si="1"/>
        <v>12</v>
      </c>
      <c r="J89" s="3">
        <v>2</v>
      </c>
      <c r="K89" s="5">
        <f t="shared" si="8"/>
        <v>24</v>
      </c>
      <c r="L89" s="3">
        <v>300</v>
      </c>
      <c r="M89" s="1">
        <v>400</v>
      </c>
      <c r="N89" s="1" t="s">
        <v>132</v>
      </c>
      <c r="O89" s="1" t="str">
        <f t="shared" si="9"/>
        <v>LISSABON 3*4 Прямоугольник</v>
      </c>
      <c r="P89" s="1" t="s">
        <v>133</v>
      </c>
      <c r="Q89" s="1" t="str">
        <f t="shared" si="10"/>
        <v>Ковер LISSABON 3*4 Прямоугольник</v>
      </c>
      <c r="R89" s="1" t="str">
        <f t="shared" si="11"/>
        <v>9081A CREAM/CREAM</v>
      </c>
    </row>
    <row r="90" spans="1:18" ht="14.4" thickBot="1" x14ac:dyDescent="0.3">
      <c r="A90" s="17">
        <v>47</v>
      </c>
      <c r="B90" s="14" t="s">
        <v>129</v>
      </c>
      <c r="C90" s="3" t="s">
        <v>67</v>
      </c>
      <c r="D90" s="3" t="s">
        <v>131</v>
      </c>
      <c r="E90" s="3">
        <v>570242</v>
      </c>
      <c r="F90" s="4" t="s">
        <v>70</v>
      </c>
      <c r="G90" s="3">
        <v>250</v>
      </c>
      <c r="H90" s="3">
        <v>350</v>
      </c>
      <c r="I90" s="5">
        <f t="shared" si="1"/>
        <v>8.75</v>
      </c>
      <c r="J90" s="3">
        <v>2</v>
      </c>
      <c r="K90" s="5">
        <f t="shared" si="8"/>
        <v>17.5</v>
      </c>
      <c r="L90" s="3">
        <v>250</v>
      </c>
      <c r="M90" s="1">
        <v>350</v>
      </c>
      <c r="N90" s="1" t="s">
        <v>132</v>
      </c>
      <c r="O90" s="1" t="str">
        <f t="shared" si="9"/>
        <v>LISSABON 2,5*3,5 Прямоугольник</v>
      </c>
      <c r="P90" s="1" t="s">
        <v>133</v>
      </c>
      <c r="Q90" s="1" t="str">
        <f t="shared" si="10"/>
        <v>Ковер LISSABON 2,5*3,5 Прямоугольник</v>
      </c>
      <c r="R90" s="1" t="str">
        <f t="shared" si="11"/>
        <v>9081A CREAM/CREAM</v>
      </c>
    </row>
    <row r="91" spans="1:18" ht="14.4" thickBot="1" x14ac:dyDescent="0.3">
      <c r="A91" s="17">
        <v>48</v>
      </c>
      <c r="B91" s="14" t="s">
        <v>129</v>
      </c>
      <c r="C91" s="3" t="s">
        <v>67</v>
      </c>
      <c r="D91" s="3" t="s">
        <v>131</v>
      </c>
      <c r="E91" s="3">
        <v>570242</v>
      </c>
      <c r="F91" s="4" t="s">
        <v>71</v>
      </c>
      <c r="G91" s="3">
        <v>200</v>
      </c>
      <c r="H91" s="3">
        <v>300</v>
      </c>
      <c r="I91" s="5">
        <f t="shared" si="1"/>
        <v>6</v>
      </c>
      <c r="J91" s="3">
        <v>8</v>
      </c>
      <c r="K91" s="5">
        <f t="shared" si="8"/>
        <v>48</v>
      </c>
      <c r="L91" s="3">
        <v>200</v>
      </c>
      <c r="M91" s="1">
        <v>300</v>
      </c>
      <c r="N91" s="1" t="s">
        <v>132</v>
      </c>
      <c r="O91" s="1" t="str">
        <f t="shared" si="9"/>
        <v>LISSABON 2*3 Прямоугольник</v>
      </c>
      <c r="P91" s="1" t="s">
        <v>133</v>
      </c>
      <c r="Q91" s="1" t="str">
        <f t="shared" si="10"/>
        <v>Ковер LISSABON 2*3 Прямоугольник</v>
      </c>
      <c r="R91" s="1" t="str">
        <f t="shared" si="11"/>
        <v>9081A CREAM/CREAM</v>
      </c>
    </row>
    <row r="92" spans="1:18" ht="14.4" thickBot="1" x14ac:dyDescent="0.3">
      <c r="A92" s="17">
        <v>49</v>
      </c>
      <c r="B92" s="14" t="s">
        <v>129</v>
      </c>
      <c r="C92" s="3" t="s">
        <v>67</v>
      </c>
      <c r="D92" s="3" t="s">
        <v>131</v>
      </c>
      <c r="E92" s="3">
        <v>570242</v>
      </c>
      <c r="F92" s="4" t="s">
        <v>72</v>
      </c>
      <c r="G92" s="3">
        <v>150</v>
      </c>
      <c r="H92" s="3">
        <v>230</v>
      </c>
      <c r="I92" s="5">
        <f t="shared" si="1"/>
        <v>3.45</v>
      </c>
      <c r="J92" s="3">
        <v>8</v>
      </c>
      <c r="K92" s="5">
        <f t="shared" si="8"/>
        <v>27.6</v>
      </c>
      <c r="L92" s="3">
        <v>150</v>
      </c>
      <c r="M92" s="1">
        <v>230</v>
      </c>
      <c r="N92" s="1" t="s">
        <v>132</v>
      </c>
      <c r="O92" s="1" t="str">
        <f t="shared" si="9"/>
        <v>LISSABON 1,5*2,3 Прямоугольник</v>
      </c>
      <c r="P92" s="1" t="s">
        <v>133</v>
      </c>
      <c r="Q92" s="1" t="str">
        <f t="shared" si="10"/>
        <v>Ковер LISSABON 1,5*2,3 Прямоугольник</v>
      </c>
      <c r="R92" s="1" t="str">
        <f t="shared" si="11"/>
        <v>9081A CREAM/CREAM</v>
      </c>
    </row>
    <row r="93" spans="1:18" ht="14.4" thickBot="1" x14ac:dyDescent="0.3">
      <c r="A93" s="17">
        <v>50</v>
      </c>
      <c r="B93" s="14" t="s">
        <v>129</v>
      </c>
      <c r="C93" s="3" t="s">
        <v>67</v>
      </c>
      <c r="D93" s="3" t="s">
        <v>131</v>
      </c>
      <c r="E93" s="3">
        <v>570242</v>
      </c>
      <c r="F93" s="4" t="s">
        <v>73</v>
      </c>
      <c r="G93" s="3">
        <v>80</v>
      </c>
      <c r="H93" s="3">
        <v>150</v>
      </c>
      <c r="I93" s="5">
        <f t="shared" si="1"/>
        <v>1.2</v>
      </c>
      <c r="J93" s="3">
        <v>8</v>
      </c>
      <c r="K93" s="5">
        <f t="shared" si="8"/>
        <v>9.6</v>
      </c>
      <c r="L93" s="3">
        <v>80</v>
      </c>
      <c r="M93" s="1">
        <v>150</v>
      </c>
      <c r="N93" s="1" t="s">
        <v>132</v>
      </c>
      <c r="O93" s="1" t="str">
        <f t="shared" si="9"/>
        <v>LISSABON 0,8*1,5 Прямоугольник</v>
      </c>
      <c r="P93" s="1" t="s">
        <v>133</v>
      </c>
      <c r="Q93" s="1" t="str">
        <f t="shared" si="10"/>
        <v>Ковер LISSABON 0,8*1,5 Прямоугольник</v>
      </c>
      <c r="R93" s="1" t="str">
        <f t="shared" si="11"/>
        <v>9081A CREAM/CREAM</v>
      </c>
    </row>
    <row r="94" spans="1:18" ht="14.4" thickBot="1" x14ac:dyDescent="0.3">
      <c r="A94" s="17">
        <v>51</v>
      </c>
      <c r="B94" s="14" t="s">
        <v>129</v>
      </c>
      <c r="C94" s="3" t="s">
        <v>75</v>
      </c>
      <c r="D94" s="3" t="s">
        <v>131</v>
      </c>
      <c r="E94" s="3">
        <v>570242</v>
      </c>
      <c r="F94" s="4" t="s">
        <v>74</v>
      </c>
      <c r="G94" s="3">
        <v>250</v>
      </c>
      <c r="H94" s="3">
        <v>350</v>
      </c>
      <c r="I94" s="5">
        <f t="shared" si="1"/>
        <v>8.75</v>
      </c>
      <c r="J94" s="3">
        <v>2</v>
      </c>
      <c r="K94" s="5">
        <f t="shared" si="8"/>
        <v>17.5</v>
      </c>
      <c r="L94" s="3">
        <v>250</v>
      </c>
      <c r="M94" s="1">
        <v>350</v>
      </c>
      <c r="N94" s="1" t="s">
        <v>132</v>
      </c>
      <c r="O94" s="1" t="str">
        <f t="shared" si="9"/>
        <v>LISSABON 2,5*3,5 Прямоугольник</v>
      </c>
      <c r="P94" s="1" t="s">
        <v>133</v>
      </c>
      <c r="Q94" s="1" t="str">
        <f t="shared" si="10"/>
        <v>Ковер LISSABON 2,5*3,5 Прямоугольник</v>
      </c>
      <c r="R94" s="1" t="str">
        <f t="shared" si="11"/>
        <v>9056A CREAM/CREAM</v>
      </c>
    </row>
    <row r="95" spans="1:18" ht="14.4" thickBot="1" x14ac:dyDescent="0.3">
      <c r="A95" s="17">
        <v>52</v>
      </c>
      <c r="B95" s="14" t="s">
        <v>129</v>
      </c>
      <c r="C95" s="3" t="s">
        <v>75</v>
      </c>
      <c r="D95" s="3" t="s">
        <v>131</v>
      </c>
      <c r="E95" s="3">
        <v>570242</v>
      </c>
      <c r="F95" s="4" t="s">
        <v>76</v>
      </c>
      <c r="G95" s="3">
        <v>200</v>
      </c>
      <c r="H95" s="3">
        <v>300</v>
      </c>
      <c r="I95" s="5">
        <f t="shared" si="1"/>
        <v>6</v>
      </c>
      <c r="J95" s="3">
        <v>4</v>
      </c>
      <c r="K95" s="5">
        <f t="shared" si="8"/>
        <v>24</v>
      </c>
      <c r="L95" s="3">
        <v>200</v>
      </c>
      <c r="M95" s="1">
        <v>300</v>
      </c>
      <c r="N95" s="1" t="s">
        <v>132</v>
      </c>
      <c r="O95" s="1" t="str">
        <f t="shared" si="9"/>
        <v>LISSABON 2*3 Прямоугольник</v>
      </c>
      <c r="P95" s="1" t="s">
        <v>133</v>
      </c>
      <c r="Q95" s="1" t="str">
        <f t="shared" si="10"/>
        <v>Ковер LISSABON 2*3 Прямоугольник</v>
      </c>
      <c r="R95" s="1" t="str">
        <f t="shared" si="11"/>
        <v>9056A CREAM/CREAM</v>
      </c>
    </row>
    <row r="96" spans="1:18" ht="14.4" thickBot="1" x14ac:dyDescent="0.3">
      <c r="A96" s="17">
        <v>53</v>
      </c>
      <c r="B96" s="14" t="s">
        <v>129</v>
      </c>
      <c r="C96" s="3" t="s">
        <v>75</v>
      </c>
      <c r="D96" s="3" t="s">
        <v>131</v>
      </c>
      <c r="E96" s="3">
        <v>570242</v>
      </c>
      <c r="F96" s="4" t="s">
        <v>77</v>
      </c>
      <c r="G96" s="3">
        <v>150</v>
      </c>
      <c r="H96" s="3">
        <v>230</v>
      </c>
      <c r="I96" s="5">
        <f t="shared" si="1"/>
        <v>3.45</v>
      </c>
      <c r="J96" s="3">
        <v>4</v>
      </c>
      <c r="K96" s="5">
        <f t="shared" si="8"/>
        <v>13.8</v>
      </c>
      <c r="L96" s="3">
        <v>150</v>
      </c>
      <c r="M96" s="1">
        <v>230</v>
      </c>
      <c r="N96" s="1" t="s">
        <v>132</v>
      </c>
      <c r="O96" s="1" t="str">
        <f t="shared" si="9"/>
        <v>LISSABON 1,5*2,3 Прямоугольник</v>
      </c>
      <c r="P96" s="1" t="s">
        <v>133</v>
      </c>
      <c r="Q96" s="1" t="str">
        <f t="shared" si="10"/>
        <v>Ковер LISSABON 1,5*2,3 Прямоугольник</v>
      </c>
      <c r="R96" s="1" t="str">
        <f t="shared" si="11"/>
        <v>9056A CREAM/CREAM</v>
      </c>
    </row>
    <row r="97" spans="1:18" ht="14.4" thickBot="1" x14ac:dyDescent="0.3">
      <c r="A97" s="17">
        <v>54</v>
      </c>
      <c r="B97" s="14" t="s">
        <v>129</v>
      </c>
      <c r="C97" s="3" t="s">
        <v>75</v>
      </c>
      <c r="D97" s="3" t="s">
        <v>131</v>
      </c>
      <c r="E97" s="3">
        <v>570242</v>
      </c>
      <c r="F97" s="4" t="s">
        <v>78</v>
      </c>
      <c r="G97" s="3">
        <v>80</v>
      </c>
      <c r="H97" s="3">
        <v>150</v>
      </c>
      <c r="I97" s="5">
        <f t="shared" si="1"/>
        <v>1.2</v>
      </c>
      <c r="J97" s="3">
        <v>8</v>
      </c>
      <c r="K97" s="5">
        <f t="shared" si="8"/>
        <v>9.6</v>
      </c>
      <c r="L97" s="3">
        <v>80</v>
      </c>
      <c r="M97" s="1">
        <v>150</v>
      </c>
      <c r="N97" s="1" t="s">
        <v>132</v>
      </c>
      <c r="O97" s="1" t="str">
        <f t="shared" si="9"/>
        <v>LISSABON 0,8*1,5 Прямоугольник</v>
      </c>
      <c r="P97" s="1" t="s">
        <v>133</v>
      </c>
      <c r="Q97" s="1" t="str">
        <f t="shared" si="10"/>
        <v>Ковер LISSABON 0,8*1,5 Прямоугольник</v>
      </c>
      <c r="R97" s="1" t="str">
        <f t="shared" si="11"/>
        <v>9056A CREAM/CREAM</v>
      </c>
    </row>
    <row r="98" spans="1:18" ht="14.4" thickBot="1" x14ac:dyDescent="0.3">
      <c r="A98" s="17">
        <v>55</v>
      </c>
      <c r="B98" s="14" t="s">
        <v>129</v>
      </c>
      <c r="C98" s="3" t="s">
        <v>80</v>
      </c>
      <c r="D98" s="3" t="s">
        <v>131</v>
      </c>
      <c r="E98" s="3">
        <v>570242</v>
      </c>
      <c r="F98" s="4" t="s">
        <v>79</v>
      </c>
      <c r="G98" s="3">
        <v>200</v>
      </c>
      <c r="H98" s="3">
        <v>300</v>
      </c>
      <c r="I98" s="5">
        <f t="shared" si="1"/>
        <v>6</v>
      </c>
      <c r="J98" s="3">
        <v>4</v>
      </c>
      <c r="K98" s="5">
        <f t="shared" si="8"/>
        <v>24</v>
      </c>
      <c r="L98" s="3">
        <v>200</v>
      </c>
      <c r="M98" s="1">
        <v>300</v>
      </c>
      <c r="N98" s="1" t="s">
        <v>132</v>
      </c>
      <c r="O98" s="1" t="str">
        <f t="shared" si="9"/>
        <v>LISSABON 2*3 Прямоугольник</v>
      </c>
      <c r="P98" s="1" t="s">
        <v>133</v>
      </c>
      <c r="Q98" s="1" t="str">
        <f t="shared" si="10"/>
        <v>Ковер LISSABON 2*3 Прямоугольник</v>
      </c>
      <c r="R98" s="1" t="str">
        <f t="shared" si="11"/>
        <v>9075A CREAM/CREAM</v>
      </c>
    </row>
    <row r="99" spans="1:18" ht="14.4" thickBot="1" x14ac:dyDescent="0.3">
      <c r="A99" s="17">
        <v>56</v>
      </c>
      <c r="B99" s="14" t="s">
        <v>129</v>
      </c>
      <c r="C99" s="3" t="s">
        <v>82</v>
      </c>
      <c r="D99" s="3" t="s">
        <v>131</v>
      </c>
      <c r="E99" s="3">
        <v>570242</v>
      </c>
      <c r="F99" s="4" t="s">
        <v>81</v>
      </c>
      <c r="G99" s="3">
        <v>400</v>
      </c>
      <c r="H99" s="3">
        <v>500</v>
      </c>
      <c r="I99" s="5">
        <f t="shared" si="1"/>
        <v>20</v>
      </c>
      <c r="J99" s="3">
        <v>4</v>
      </c>
      <c r="K99" s="5">
        <f t="shared" si="8"/>
        <v>80</v>
      </c>
      <c r="L99" s="3">
        <v>400</v>
      </c>
      <c r="M99" s="1">
        <v>500</v>
      </c>
      <c r="N99" s="1" t="s">
        <v>132</v>
      </c>
      <c r="O99" s="1" t="str">
        <f t="shared" si="9"/>
        <v>LISSABON 4*5 Прямоугольник</v>
      </c>
      <c r="P99" s="1" t="s">
        <v>133</v>
      </c>
      <c r="Q99" s="1" t="str">
        <f t="shared" si="10"/>
        <v>Ковер LISSABON 4*5 Прямоугольник</v>
      </c>
      <c r="R99" s="1" t="str">
        <f t="shared" si="11"/>
        <v>9299A CREAM/CREAM</v>
      </c>
    </row>
    <row r="100" spans="1:18" ht="14.4" thickBot="1" x14ac:dyDescent="0.3">
      <c r="A100" s="17">
        <v>57</v>
      </c>
      <c r="B100" s="14" t="s">
        <v>129</v>
      </c>
      <c r="C100" s="3" t="s">
        <v>82</v>
      </c>
      <c r="D100" s="3" t="s">
        <v>131</v>
      </c>
      <c r="E100" s="3">
        <v>570242</v>
      </c>
      <c r="F100" s="4" t="s">
        <v>83</v>
      </c>
      <c r="G100" s="3">
        <v>300</v>
      </c>
      <c r="H100" s="3">
        <v>500</v>
      </c>
      <c r="I100" s="5">
        <f t="shared" si="1"/>
        <v>15</v>
      </c>
      <c r="J100" s="3">
        <v>4</v>
      </c>
      <c r="K100" s="5">
        <f t="shared" si="8"/>
        <v>60</v>
      </c>
      <c r="L100" s="3">
        <v>300</v>
      </c>
      <c r="M100" s="1">
        <v>500</v>
      </c>
      <c r="N100" s="1" t="s">
        <v>132</v>
      </c>
      <c r="O100" s="1" t="str">
        <f t="shared" si="9"/>
        <v>LISSABON 3*5 Прямоугольник</v>
      </c>
      <c r="P100" s="1" t="s">
        <v>133</v>
      </c>
      <c r="Q100" s="1" t="str">
        <f t="shared" si="10"/>
        <v>Ковер LISSABON 3*5 Прямоугольник</v>
      </c>
      <c r="R100" s="1" t="str">
        <f t="shared" si="11"/>
        <v>9299A CREAM/CREAM</v>
      </c>
    </row>
    <row r="101" spans="1:18" ht="14.4" thickBot="1" x14ac:dyDescent="0.3">
      <c r="A101" s="17">
        <v>58</v>
      </c>
      <c r="B101" s="14" t="s">
        <v>129</v>
      </c>
      <c r="C101" s="3" t="s">
        <v>82</v>
      </c>
      <c r="D101" s="3" t="s">
        <v>131</v>
      </c>
      <c r="E101" s="3">
        <v>570242</v>
      </c>
      <c r="F101" s="4" t="s">
        <v>84</v>
      </c>
      <c r="G101" s="3">
        <v>300</v>
      </c>
      <c r="H101" s="3">
        <v>400</v>
      </c>
      <c r="I101" s="5">
        <f t="shared" si="1"/>
        <v>12</v>
      </c>
      <c r="J101" s="3">
        <v>4</v>
      </c>
      <c r="K101" s="5">
        <f t="shared" si="8"/>
        <v>48</v>
      </c>
      <c r="L101" s="3">
        <v>300</v>
      </c>
      <c r="M101" s="1">
        <v>400</v>
      </c>
      <c r="N101" s="1" t="s">
        <v>132</v>
      </c>
      <c r="O101" s="1" t="str">
        <f t="shared" si="9"/>
        <v>LISSABON 3*4 Прямоугольник</v>
      </c>
      <c r="P101" s="1" t="s">
        <v>133</v>
      </c>
      <c r="Q101" s="1" t="str">
        <f t="shared" si="10"/>
        <v>Ковер LISSABON 3*4 Прямоугольник</v>
      </c>
      <c r="R101" s="1" t="str">
        <f t="shared" si="11"/>
        <v>9299A CREAM/CREAM</v>
      </c>
    </row>
    <row r="102" spans="1:18" ht="14.4" thickBot="1" x14ac:dyDescent="0.3">
      <c r="A102" s="17">
        <v>59</v>
      </c>
      <c r="B102" s="14" t="s">
        <v>129</v>
      </c>
      <c r="C102" s="3" t="s">
        <v>82</v>
      </c>
      <c r="D102" s="3" t="s">
        <v>131</v>
      </c>
      <c r="E102" s="3">
        <v>570242</v>
      </c>
      <c r="F102" s="4" t="s">
        <v>85</v>
      </c>
      <c r="G102" s="3">
        <v>250</v>
      </c>
      <c r="H102" s="3">
        <v>400</v>
      </c>
      <c r="I102" s="5">
        <f t="shared" si="1"/>
        <v>10</v>
      </c>
      <c r="J102" s="3">
        <v>2</v>
      </c>
      <c r="K102" s="5">
        <f t="shared" si="8"/>
        <v>20</v>
      </c>
      <c r="L102" s="3">
        <v>250</v>
      </c>
      <c r="M102" s="1">
        <v>400</v>
      </c>
      <c r="N102" s="1" t="s">
        <v>132</v>
      </c>
      <c r="O102" s="1" t="str">
        <f t="shared" si="9"/>
        <v>LISSABON 2,5*4 Прямоугольник</v>
      </c>
      <c r="P102" s="1" t="s">
        <v>133</v>
      </c>
      <c r="Q102" s="1" t="str">
        <f t="shared" si="10"/>
        <v>Ковер LISSABON 2,5*4 Прямоугольник</v>
      </c>
      <c r="R102" s="1" t="str">
        <f t="shared" si="11"/>
        <v>9299A CREAM/CREAM</v>
      </c>
    </row>
    <row r="103" spans="1:18" ht="14.4" thickBot="1" x14ac:dyDescent="0.3">
      <c r="A103" s="17">
        <v>60</v>
      </c>
      <c r="B103" s="14" t="s">
        <v>129</v>
      </c>
      <c r="C103" s="3" t="s">
        <v>82</v>
      </c>
      <c r="D103" s="3" t="s">
        <v>131</v>
      </c>
      <c r="E103" s="3">
        <v>570242</v>
      </c>
      <c r="F103" s="4" t="s">
        <v>86</v>
      </c>
      <c r="G103" s="3">
        <v>250</v>
      </c>
      <c r="H103" s="3">
        <v>350</v>
      </c>
      <c r="I103" s="5">
        <f t="shared" ref="I103:I108" si="12">G103*H103/10000</f>
        <v>8.75</v>
      </c>
      <c r="J103" s="3">
        <v>6</v>
      </c>
      <c r="K103" s="5">
        <f t="shared" si="8"/>
        <v>52.5</v>
      </c>
      <c r="L103" s="3">
        <v>250</v>
      </c>
      <c r="M103" s="1">
        <v>350</v>
      </c>
      <c r="N103" s="1" t="s">
        <v>132</v>
      </c>
      <c r="O103" s="1" t="str">
        <f t="shared" si="9"/>
        <v>LISSABON 2,5*3,5 Прямоугольник</v>
      </c>
      <c r="P103" s="1" t="s">
        <v>133</v>
      </c>
      <c r="Q103" s="1" t="str">
        <f t="shared" si="10"/>
        <v>Ковер LISSABON 2,5*3,5 Прямоугольник</v>
      </c>
      <c r="R103" s="1" t="str">
        <f t="shared" si="11"/>
        <v>9299A CREAM/CREAM</v>
      </c>
    </row>
    <row r="104" spans="1:18" ht="14.4" thickBot="1" x14ac:dyDescent="0.3">
      <c r="A104" s="17">
        <v>61</v>
      </c>
      <c r="B104" s="14" t="s">
        <v>129</v>
      </c>
      <c r="C104" s="3" t="s">
        <v>82</v>
      </c>
      <c r="D104" s="3" t="s">
        <v>131</v>
      </c>
      <c r="E104" s="3">
        <v>570242</v>
      </c>
      <c r="F104" s="4" t="s">
        <v>87</v>
      </c>
      <c r="G104" s="3">
        <v>200</v>
      </c>
      <c r="H104" s="3">
        <v>300</v>
      </c>
      <c r="I104" s="5">
        <f t="shared" si="12"/>
        <v>6</v>
      </c>
      <c r="J104" s="3">
        <v>8</v>
      </c>
      <c r="K104" s="5">
        <f t="shared" si="8"/>
        <v>48</v>
      </c>
      <c r="L104" s="3">
        <v>200</v>
      </c>
      <c r="M104" s="1">
        <v>300</v>
      </c>
      <c r="N104" s="1" t="s">
        <v>132</v>
      </c>
      <c r="O104" s="1" t="str">
        <f t="shared" si="9"/>
        <v>LISSABON 2*3 Прямоугольник</v>
      </c>
      <c r="P104" s="1" t="s">
        <v>133</v>
      </c>
      <c r="Q104" s="1" t="str">
        <f t="shared" si="10"/>
        <v>Ковер LISSABON 2*3 Прямоугольник</v>
      </c>
      <c r="R104" s="1" t="str">
        <f t="shared" si="11"/>
        <v>9299A CREAM/CREAM</v>
      </c>
    </row>
    <row r="105" spans="1:18" ht="14.4" thickBot="1" x14ac:dyDescent="0.3">
      <c r="A105" s="17">
        <v>62</v>
      </c>
      <c r="B105" s="14" t="s">
        <v>129</v>
      </c>
      <c r="C105" s="3" t="s">
        <v>82</v>
      </c>
      <c r="D105" s="3" t="s">
        <v>131</v>
      </c>
      <c r="E105" s="3">
        <v>570242</v>
      </c>
      <c r="F105" s="4" t="s">
        <v>88</v>
      </c>
      <c r="G105" s="3">
        <v>150</v>
      </c>
      <c r="H105" s="3">
        <v>230</v>
      </c>
      <c r="I105" s="5">
        <f t="shared" si="12"/>
        <v>3.45</v>
      </c>
      <c r="J105" s="3">
        <v>8</v>
      </c>
      <c r="K105" s="5">
        <f t="shared" si="8"/>
        <v>27.6</v>
      </c>
      <c r="L105" s="3">
        <v>150</v>
      </c>
      <c r="M105" s="1">
        <v>230</v>
      </c>
      <c r="N105" s="1" t="s">
        <v>132</v>
      </c>
      <c r="O105" s="1" t="str">
        <f t="shared" si="9"/>
        <v>LISSABON 1,5*2,3 Прямоугольник</v>
      </c>
      <c r="P105" s="1" t="s">
        <v>133</v>
      </c>
      <c r="Q105" s="1" t="str">
        <f t="shared" si="10"/>
        <v>Ковер LISSABON 1,5*2,3 Прямоугольник</v>
      </c>
      <c r="R105" s="1" t="str">
        <f t="shared" si="11"/>
        <v>9299A CREAM/CREAM</v>
      </c>
    </row>
    <row r="106" spans="1:18" ht="14.4" thickBot="1" x14ac:dyDescent="0.3">
      <c r="A106" s="17">
        <v>63</v>
      </c>
      <c r="B106" s="14" t="s">
        <v>129</v>
      </c>
      <c r="C106" s="3" t="s">
        <v>82</v>
      </c>
      <c r="D106" s="3" t="s">
        <v>131</v>
      </c>
      <c r="E106" s="3">
        <v>570242</v>
      </c>
      <c r="F106" s="4" t="s">
        <v>89</v>
      </c>
      <c r="G106" s="3">
        <v>80</v>
      </c>
      <c r="H106" s="3">
        <v>150</v>
      </c>
      <c r="I106" s="5">
        <f t="shared" si="12"/>
        <v>1.2</v>
      </c>
      <c r="J106" s="3">
        <v>4</v>
      </c>
      <c r="K106" s="5">
        <f t="shared" si="8"/>
        <v>4.8</v>
      </c>
      <c r="L106" s="3">
        <v>80</v>
      </c>
      <c r="M106" s="1">
        <v>150</v>
      </c>
      <c r="N106" s="1" t="s">
        <v>132</v>
      </c>
      <c r="O106" s="1" t="str">
        <f t="shared" si="9"/>
        <v>LISSABON 0,8*1,5 Прямоугольник</v>
      </c>
      <c r="P106" s="1" t="s">
        <v>133</v>
      </c>
      <c r="Q106" s="1" t="str">
        <f t="shared" si="10"/>
        <v>Ковер LISSABON 0,8*1,5 Прямоугольник</v>
      </c>
      <c r="R106" s="1" t="str">
        <f t="shared" si="11"/>
        <v>9299A CREAM/CREAM</v>
      </c>
    </row>
    <row r="107" spans="1:18" ht="14.4" thickBot="1" x14ac:dyDescent="0.3">
      <c r="A107" s="17">
        <v>64</v>
      </c>
      <c r="B107" s="14" t="s">
        <v>129</v>
      </c>
      <c r="C107" s="3" t="s">
        <v>34</v>
      </c>
      <c r="D107" s="3" t="s">
        <v>131</v>
      </c>
      <c r="E107" s="3">
        <v>570242</v>
      </c>
      <c r="F107" s="4" t="s">
        <v>90</v>
      </c>
      <c r="G107" s="3">
        <v>80</v>
      </c>
      <c r="H107" s="3">
        <v>150</v>
      </c>
      <c r="I107" s="5">
        <f t="shared" si="12"/>
        <v>1.2</v>
      </c>
      <c r="J107" s="3">
        <v>4</v>
      </c>
      <c r="K107" s="5">
        <f t="shared" si="8"/>
        <v>4.8</v>
      </c>
      <c r="L107" s="3">
        <v>80</v>
      </c>
      <c r="M107" s="1">
        <v>150</v>
      </c>
      <c r="N107" s="1" t="s">
        <v>132</v>
      </c>
      <c r="O107" s="1" t="str">
        <f t="shared" si="9"/>
        <v>LISSABON 0,8*1,5 Прямоугольник</v>
      </c>
      <c r="P107" s="1" t="s">
        <v>133</v>
      </c>
      <c r="Q107" s="1" t="str">
        <f t="shared" si="10"/>
        <v>Ковер LISSABON 0,8*1,5 Прямоугольник</v>
      </c>
      <c r="R107" s="1" t="str">
        <f t="shared" si="11"/>
        <v>9296A CREAM/CREAM</v>
      </c>
    </row>
    <row r="108" spans="1:18" ht="14.4" thickBot="1" x14ac:dyDescent="0.3">
      <c r="A108" s="18">
        <v>65</v>
      </c>
      <c r="B108" s="14" t="s">
        <v>129</v>
      </c>
      <c r="C108" s="19" t="s">
        <v>40</v>
      </c>
      <c r="D108" s="19" t="s">
        <v>131</v>
      </c>
      <c r="E108" s="19">
        <v>570242</v>
      </c>
      <c r="F108" s="20" t="s">
        <v>91</v>
      </c>
      <c r="G108" s="19">
        <v>80</v>
      </c>
      <c r="H108" s="19">
        <v>150</v>
      </c>
      <c r="I108" s="21">
        <f t="shared" si="12"/>
        <v>1.2</v>
      </c>
      <c r="J108" s="19">
        <v>8</v>
      </c>
      <c r="K108" s="21">
        <f t="shared" ref="K108" si="13">I108*J108</f>
        <v>9.6</v>
      </c>
      <c r="L108" s="19">
        <v>80</v>
      </c>
      <c r="M108" s="1">
        <v>150</v>
      </c>
      <c r="N108" s="1" t="s">
        <v>132</v>
      </c>
      <c r="O108" s="1" t="str">
        <f t="shared" si="9"/>
        <v>LISSABON 0,8*1,5 Прямоугольник</v>
      </c>
      <c r="P108" s="1" t="s">
        <v>133</v>
      </c>
      <c r="Q108" s="1" t="str">
        <f t="shared" si="10"/>
        <v>Ковер LISSABON 0,8*1,5 Прямоугольник</v>
      </c>
      <c r="R108" s="1" t="str">
        <f t="shared" si="11"/>
        <v>9582A CREAM/CREAM</v>
      </c>
    </row>
    <row r="109" spans="1:18" x14ac:dyDescent="0.25">
      <c r="K109" s="1"/>
    </row>
    <row r="110" spans="1:18" x14ac:dyDescent="0.25">
      <c r="K110" s="1"/>
    </row>
    <row r="111" spans="1:18" x14ac:dyDescent="0.25">
      <c r="K111" s="1"/>
    </row>
    <row r="112" spans="1:18" x14ac:dyDescent="0.25">
      <c r="K112" s="1"/>
    </row>
    <row r="113" spans="11:11" x14ac:dyDescent="0.25">
      <c r="K113" s="1"/>
    </row>
    <row r="114" spans="11:11" x14ac:dyDescent="0.25">
      <c r="K114" s="1"/>
    </row>
    <row r="115" spans="11:11" x14ac:dyDescent="0.25">
      <c r="K115" s="1"/>
    </row>
    <row r="116" spans="11:11" x14ac:dyDescent="0.25">
      <c r="K116" s="1"/>
    </row>
  </sheetData>
  <mergeCells count="11">
    <mergeCell ref="L18:L19"/>
    <mergeCell ref="F18:F19"/>
    <mergeCell ref="G18:H18"/>
    <mergeCell ref="I18:I19"/>
    <mergeCell ref="J18:J19"/>
    <mergeCell ref="K18:K19"/>
    <mergeCell ref="A18:A19"/>
    <mergeCell ref="B18:B19"/>
    <mergeCell ref="C18:C19"/>
    <mergeCell ref="D18:D19"/>
    <mergeCell ref="E18:E19"/>
  </mergeCells>
  <pageMargins left="0.51181102362204722" right="0.11811023622047245" top="0.55118110236220474" bottom="0.55118110236220474" header="0.31496062992125984" footer="0.31496062992125984"/>
  <pageSetup paperSize="9" scale="5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Sayfa1</vt:lpstr>
    </vt:vector>
  </TitlesOfParts>
  <Company>MoTuN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cp:lastPrinted>2026-07-14T08:43:18Z</cp:lastPrinted>
  <dcterms:created xsi:type="dcterms:W3CDTF">2026-07-07T12:22:37Z</dcterms:created>
  <dcterms:modified xsi:type="dcterms:W3CDTF">2026-09-11T10:47:19Z</dcterms:modified>
</cp:coreProperties>
</file>